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はじめに" sheetId="1" state="visible" r:id="rId1"/>
    <sheet name="アーティスト" sheetId="2" state="visible" r:id="rId2"/>
    <sheet name="メンバー" sheetId="3" state="visible" r:id="rId3"/>
    <sheet name="人生年表" sheetId="4" state="visible" r:id="rId4"/>
    <sheet name="デビューの経緯" sheetId="5" state="visible" r:id="rId5"/>
    <sheet name="傷・タトゥー" sheetId="6" state="visible" r:id="rId6"/>
    <sheet name="影響" sheetId="7" state="visible" r:id="rId7"/>
    <sheet name="歌の種" sheetId="8" state="visible" r:id="rId8"/>
    <sheet name="歌詞の試作" sheetId="9" state="visible" r:id="rId9"/>
    <sheet name="近況" sheetId="10" state="visible" r:id="rId10"/>
    <sheet name="参考曲の候補" sheetId="11" state="visible" r:id="rId11"/>
    <sheet name="声と曲づくり" sheetId="12" state="visible" r:id="rId12"/>
    <sheet name="見た目" sheetId="13" state="visible" r:id="rId13"/>
    <sheet name="変更の提案" sheetId="14" state="visible" r:id="rId14"/>
    <sheet name="詰まっているところ" sheetId="15" state="visible" r:id="rId15"/>
  </sheets>
  <definedNames>
    <definedName name="_xlnm._FilterDatabase" localSheetId="3" hidden="1">'人生年表'!$A$1:$L$82</definedName>
    <definedName name="_xlnm._FilterDatabase" localSheetId="4" hidden="1">'デビューの経緯'!$A$1:$G$28</definedName>
    <definedName name="_xlnm._FilterDatabase" localSheetId="5" hidden="1">'傷・タトゥー'!$A$1:$H$15</definedName>
    <definedName name="_xlnm._FilterDatabase" localSheetId="6" hidden="1">'影響'!$A$1:$J$61</definedName>
    <definedName name="_xlnm._FilterDatabase" localSheetId="7" hidden="1">'歌の種'!$A$1:$I$43</definedName>
    <definedName name="_xlnm._FilterDatabase" localSheetId="8" hidden="1">'歌詞の試作'!$A$1:$G$11</definedName>
    <definedName name="_xlnm._FilterDatabase" localSheetId="9" hidden="1">'近況'!$A$1:$F$16</definedName>
    <definedName name="_xlnm._FilterDatabase" localSheetId="10" hidden="1">'参考曲の候補'!$A$1:$I$38</definedName>
    <definedName name="_xlnm._FilterDatabase" localSheetId="13" hidden="1">'変更の提案'!$A$1:$H$9</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2B2B2B"/>
      <sz val="10"/>
    </font>
    <font>
      <name val="Arial"/>
      <color rgb="002B2B2B"/>
      <sz val="10"/>
    </font>
    <font>
      <name val="Arial"/>
      <b val="1"/>
      <color rgb="00FFFFFF"/>
      <sz val="10"/>
    </font>
    <font>
      <name val="Arial"/>
      <b val="1"/>
      <color rgb="002B2B2B"/>
      <sz val="13"/>
    </font>
    <font>
      <name val="Arial"/>
      <color rgb="008A8A8A"/>
      <sz val="9"/>
    </font>
    <font>
      <name val="Arial"/>
      <b val="1"/>
      <color rgb="002B2B2B"/>
      <sz val="18"/>
    </font>
    <font>
      <name val="Arial"/>
      <color rgb="008A8A8A"/>
      <sz val="10"/>
    </font>
    <font>
      <name val="Arial"/>
      <b val="1"/>
      <color rgb="007A5A00"/>
    </font>
    <font>
      <name val="Arial"/>
      <b val="1"/>
      <color rgb="001E6B3A"/>
    </font>
    <font>
      <name val="Arial"/>
      <b val="1"/>
      <color rgb="0052626E"/>
    </font>
    <font>
      <name val="Arial"/>
      <b val="1"/>
      <color rgb="00A12B2B"/>
    </font>
    <font>
      <name val="Arial"/>
      <b val="1"/>
      <color rgb="001F4E99"/>
    </font>
    <font>
      <b val="1"/>
      <color rgb="00FFFFFF"/>
    </font>
  </fonts>
  <fills count="29">
    <fill>
      <patternFill/>
    </fill>
    <fill>
      <patternFill patternType="gray125"/>
    </fill>
    <fill>
      <patternFill patternType="solid">
        <fgColor rgb="00EDE5D6"/>
      </patternFill>
    </fill>
    <fill>
      <patternFill patternType="solid">
        <fgColor rgb="00F8F4EC"/>
      </patternFill>
    </fill>
    <fill>
      <patternFill patternType="solid">
        <fgColor rgb="009C7F57"/>
      </patternFill>
    </fill>
    <fill>
      <patternFill patternType="solid">
        <fgColor rgb="00F3DDB0"/>
      </patternFill>
    </fill>
    <fill>
      <patternFill patternType="solid">
        <fgColor rgb="00CAD5EE"/>
      </patternFill>
    </fill>
    <fill>
      <patternFill patternType="solid">
        <fgColor rgb="00CFE6D4"/>
      </patternFill>
    </fill>
    <fill>
      <patternFill patternType="solid">
        <fgColor rgb="00D6E0E6"/>
      </patternFill>
    </fill>
    <fill>
      <patternFill patternType="solid">
        <fgColor rgb="00E4D7EF"/>
      </patternFill>
    </fill>
    <fill>
      <patternFill patternType="solid">
        <fgColor rgb="00DDEBE1"/>
      </patternFill>
    </fill>
    <fill>
      <patternFill patternType="solid">
        <fgColor rgb="00F2F7F3"/>
      </patternFill>
    </fill>
    <fill>
      <patternFill patternType="solid">
        <fgColor rgb="005E8B6E"/>
      </patternFill>
    </fill>
    <fill>
      <patternFill patternType="solid">
        <fgColor rgb="00DFE7EE"/>
      </patternFill>
    </fill>
    <fill>
      <patternFill patternType="solid">
        <fgColor rgb="00F2F5F8"/>
      </patternFill>
    </fill>
    <fill>
      <patternFill patternType="solid">
        <fgColor rgb="0062809A"/>
      </patternFill>
    </fill>
    <fill>
      <patternFill patternType="solid">
        <fgColor rgb="00E7E7E7"/>
      </patternFill>
    </fill>
    <fill>
      <patternFill patternType="solid">
        <fgColor rgb="00FFF1C2"/>
      </patternFill>
    </fill>
    <fill>
      <patternFill patternType="solid">
        <fgColor rgb="00D9EFDE"/>
      </patternFill>
    </fill>
    <fill>
      <patternFill patternType="solid">
        <fgColor rgb="00E8ECEF"/>
      </patternFill>
    </fill>
    <fill>
      <patternFill patternType="solid">
        <fgColor rgb="00F7D9D9"/>
      </patternFill>
    </fill>
    <fill>
      <patternFill patternType="solid">
        <fgColor rgb="00DCE6F6"/>
      </patternFill>
    </fill>
    <fill>
      <patternFill patternType="solid">
        <fgColor rgb="00EFEDE8"/>
      </patternFill>
    </fill>
    <fill>
      <patternFill patternType="solid">
        <fgColor rgb="002F3B4C"/>
      </patternFill>
    </fill>
    <fill>
      <patternFill patternType="solid">
        <fgColor rgb="00DDEFD8"/>
      </patternFill>
    </fill>
    <fill>
      <patternFill patternType="solid">
        <fgColor rgb="00FFFFFF"/>
      </patternFill>
    </fill>
    <fill>
      <patternFill patternType="solid">
        <fgColor rgb="00FFF2CC"/>
      </patternFill>
    </fill>
    <fill>
      <patternFill patternType="solid">
        <fgColor rgb="00E8E8E8"/>
      </patternFill>
    </fill>
    <fill>
      <patternFill patternType="solid">
        <fgColor rgb="00E3EEF9"/>
      </patternFill>
    </fill>
  </fills>
  <borders count="3">
    <border>
      <left/>
      <right/>
      <top/>
      <bottom/>
      <diagonal/>
    </border>
    <border>
      <right style="thin">
        <color rgb="00D9D6CF"/>
      </right>
      <bottom style="thin">
        <color rgb="00D9D6CF"/>
      </bottom>
    </border>
    <border>
      <left style="thin">
        <color rgb="00D0D0D0"/>
      </left>
      <right style="thin">
        <color rgb="00D0D0D0"/>
      </right>
      <top style="thin">
        <color rgb="00D0D0D0"/>
      </top>
      <bottom style="thin">
        <color rgb="00D0D0D0"/>
      </bottom>
    </border>
  </borders>
  <cellStyleXfs count="1">
    <xf numFmtId="0" fontId="0" fillId="0" borderId="0"/>
  </cellStyleXfs>
  <cellXfs count="63">
    <xf numFmtId="0" fontId="0" fillId="0" borderId="0" pivotButton="0" quotePrefix="0" xfId="0"/>
    <xf numFmtId="0" fontId="6" fillId="0" borderId="0" pivotButton="0" quotePrefix="0" xfId="0"/>
    <xf numFmtId="0" fontId="7" fillId="0" borderId="0" applyAlignment="1" pivotButton="0" quotePrefix="0" xfId="0">
      <alignment vertical="top" wrapText="1"/>
    </xf>
    <xf numFmtId="0" fontId="1" fillId="0" borderId="0" pivotButton="0" quotePrefix="0" xfId="0"/>
    <xf numFmtId="0" fontId="8" fillId="17" borderId="0" applyAlignment="1" pivotButton="0" quotePrefix="0" xfId="0">
      <alignment horizontal="center" vertical="top" wrapText="1"/>
    </xf>
    <xf numFmtId="0" fontId="2" fillId="0" borderId="0" pivotButton="0" quotePrefix="0" xfId="0"/>
    <xf numFmtId="0" fontId="9" fillId="18" borderId="0" applyAlignment="1" pivotButton="0" quotePrefix="0" xfId="0">
      <alignment horizontal="center" vertical="top" wrapText="1"/>
    </xf>
    <xf numFmtId="0" fontId="10" fillId="19" borderId="0" applyAlignment="1" pivotButton="0" quotePrefix="0" xfId="0">
      <alignment horizontal="center" vertical="top" wrapText="1"/>
    </xf>
    <xf numFmtId="0" fontId="11" fillId="20" borderId="0" applyAlignment="1" pivotButton="0" quotePrefix="0" xfId="0">
      <alignment horizontal="center" vertical="top" wrapText="1"/>
    </xf>
    <xf numFmtId="0" fontId="12" fillId="21" borderId="0" applyAlignment="1" pivotButton="0" quotePrefix="0" xfId="0">
      <alignment horizontal="center" vertical="top" wrapText="1"/>
    </xf>
    <xf numFmtId="0" fontId="1" fillId="22" borderId="1" pivotButton="0" quotePrefix="0" xfId="0"/>
    <xf numFmtId="0" fontId="1" fillId="2" borderId="1" pivotButton="0" quotePrefix="0" xfId="0"/>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1" fillId="10" borderId="1" pivotButton="0" quotePrefix="0" xfId="0"/>
    <xf numFmtId="0" fontId="1" fillId="13" borderId="1" pivotButton="0" quotePrefix="0" xfId="0"/>
    <xf numFmtId="0" fontId="1" fillId="16" borderId="1" pivotButton="0" quotePrefix="0" xfId="0"/>
    <xf numFmtId="0" fontId="2" fillId="0" borderId="0" applyAlignment="1" pivotButton="0" quotePrefix="0" xfId="0">
      <alignment horizontal="right" vertical="top"/>
    </xf>
    <xf numFmtId="0" fontId="2" fillId="0" borderId="0" applyAlignment="1" pivotButton="0" quotePrefix="0" xfId="0">
      <alignment vertical="top" wrapText="1"/>
    </xf>
    <xf numFmtId="0" fontId="1" fillId="2"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1" fillId="3" borderId="1" applyAlignment="1" pivotButton="0" quotePrefix="0" xfId="0">
      <alignment vertical="top" wrapText="1"/>
    </xf>
    <xf numFmtId="0" fontId="2" fillId="3" borderId="1" applyAlignment="1" pivotButton="0" quotePrefix="0" xfId="0">
      <alignment vertical="top" wrapText="1"/>
    </xf>
    <xf numFmtId="0" fontId="5" fillId="0" borderId="1" applyAlignment="1" pivotButton="0" quotePrefix="0" xfId="0">
      <alignment vertical="top" wrapText="1"/>
    </xf>
    <xf numFmtId="0" fontId="3" fillId="4" borderId="0" pivotButton="0" quotePrefix="0" xfId="0"/>
    <xf numFmtId="0" fontId="0" fillId="4" borderId="0" pivotButton="0" quotePrefix="0" xfId="0"/>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1" fillId="7" borderId="1" applyAlignment="1" pivotButton="0" quotePrefix="0" xfId="0">
      <alignment vertical="top" wrapText="1"/>
    </xf>
    <xf numFmtId="0" fontId="1" fillId="8" borderId="1" applyAlignment="1" pivotButton="0" quotePrefix="0" xfId="0">
      <alignment vertical="top" wrapText="1"/>
    </xf>
    <xf numFmtId="0" fontId="1" fillId="9" borderId="1" applyAlignment="1" pivotButton="0" quotePrefix="0" xfId="0">
      <alignment vertical="top" wrapText="1"/>
    </xf>
    <xf numFmtId="0" fontId="1" fillId="10" borderId="1" applyAlignment="1" pivotButton="0" quotePrefix="0" xfId="0">
      <alignment horizontal="left" vertical="center" wrapText="1"/>
    </xf>
    <xf numFmtId="0" fontId="1" fillId="5" borderId="1" applyAlignment="1" pivotButton="0" quotePrefix="0" xfId="0">
      <alignment horizontal="left" vertical="center" wrapText="1"/>
    </xf>
    <xf numFmtId="0" fontId="1" fillId="6" borderId="1" applyAlignment="1" pivotButton="0" quotePrefix="0" xfId="0">
      <alignment horizontal="left" vertical="center" wrapText="1"/>
    </xf>
    <xf numFmtId="0" fontId="1" fillId="7" borderId="1" applyAlignment="1" pivotButton="0" quotePrefix="0" xfId="0">
      <alignment horizontal="left" vertical="center" wrapText="1"/>
    </xf>
    <xf numFmtId="0" fontId="1" fillId="8" borderId="1" applyAlignment="1" pivotButton="0" quotePrefix="0" xfId="0">
      <alignment horizontal="left" vertical="center" wrapText="1"/>
    </xf>
    <xf numFmtId="0" fontId="1" fillId="9" borderId="1" applyAlignment="1" pivotButton="0" quotePrefix="0" xfId="0">
      <alignment horizontal="left" vertical="center" wrapText="1"/>
    </xf>
    <xf numFmtId="0" fontId="1" fillId="11" borderId="1" applyAlignment="1" pivotButton="0" quotePrefix="0" xfId="0">
      <alignment vertical="top" wrapText="1"/>
    </xf>
    <xf numFmtId="0" fontId="3" fillId="12" borderId="0" pivotButton="0" quotePrefix="0" xfId="0"/>
    <xf numFmtId="0" fontId="0" fillId="12" borderId="0" pivotButton="0" quotePrefix="0" xfId="0"/>
    <xf numFmtId="0" fontId="2" fillId="11" borderId="1" applyAlignment="1" pivotButton="0" quotePrefix="0" xfId="0">
      <alignment vertical="top" wrapText="1"/>
    </xf>
    <xf numFmtId="0" fontId="1" fillId="13" borderId="1" applyAlignment="1" pivotButton="0" quotePrefix="0" xfId="0">
      <alignment horizontal="left" vertical="center" wrapText="1"/>
    </xf>
    <xf numFmtId="0" fontId="1" fillId="14" borderId="1" applyAlignment="1" pivotButton="0" quotePrefix="0" xfId="0">
      <alignment vertical="top" wrapText="1"/>
    </xf>
    <xf numFmtId="0" fontId="3" fillId="15" borderId="0" pivotButton="0" quotePrefix="0" xfId="0"/>
    <xf numFmtId="0" fontId="0" fillId="15" borderId="0" pivotButton="0" quotePrefix="0" xfId="0"/>
    <xf numFmtId="0" fontId="2" fillId="14" borderId="1" applyAlignment="1" pivotButton="0" quotePrefix="0" xfId="0">
      <alignment vertical="top" wrapText="1"/>
    </xf>
    <xf numFmtId="0" fontId="1" fillId="16" borderId="1" applyAlignment="1" pivotButton="0" quotePrefix="0" xfId="0">
      <alignment horizontal="left" vertical="center" wrapText="1"/>
    </xf>
    <xf numFmtId="0" fontId="13" fillId="23" borderId="0" applyAlignment="1" pivotButton="0" quotePrefix="0" xfId="0">
      <alignment vertical="center" wrapText="1"/>
    </xf>
    <xf numFmtId="0" fontId="0" fillId="0" borderId="2" applyAlignment="1" pivotButton="0" quotePrefix="0" xfId="0">
      <alignment vertical="top" wrapText="1"/>
    </xf>
    <xf numFmtId="0" fontId="0" fillId="24" borderId="2" applyAlignment="1" pivotButton="0" quotePrefix="0" xfId="0">
      <alignment vertical="top" wrapText="1"/>
    </xf>
    <xf numFmtId="0" fontId="0" fillId="25" borderId="2" applyAlignment="1" pivotButton="0" quotePrefix="0" xfId="0">
      <alignment vertical="top" wrapText="1"/>
    </xf>
    <xf numFmtId="0" fontId="0" fillId="26" borderId="2" applyAlignment="1" pivotButton="0" quotePrefix="0" xfId="0">
      <alignment vertical="top" wrapText="1"/>
    </xf>
    <xf numFmtId="0" fontId="0" fillId="27" borderId="2" applyAlignment="1" pivotButton="0" quotePrefix="0" xfId="0">
      <alignment vertical="top" wrapText="1"/>
    </xf>
    <xf numFmtId="0" fontId="0" fillId="28" borderId="2" applyAlignment="1" pivotButton="0" quotePrefix="0" xfId="0">
      <alignment vertical="top" wrapText="1"/>
    </xf>
  </cellXfs>
  <cellStyles count="1">
    <cellStyle name="Normal" xfId="0" builtinId="0" hidden="0"/>
  </cellStyles>
  <dxfs count="12">
    <dxf>
      <font>
        <name val="Arial"/>
        <b val="1"/>
        <color rgb="007A5A00"/>
      </font>
      <fill>
        <patternFill patternType="solid">
          <fgColor rgb="00FFF1C2"/>
        </patternFill>
      </fill>
    </dxf>
    <dxf>
      <font>
        <name val="Arial"/>
        <b val="1"/>
        <color rgb="001E6B3A"/>
      </font>
      <fill>
        <patternFill patternType="solid">
          <fgColor rgb="00D9EFDE"/>
        </patternFill>
      </fill>
    </dxf>
    <dxf>
      <font>
        <name val="Arial"/>
        <b val="1"/>
        <color rgb="0052626E"/>
      </font>
      <fill>
        <patternFill patternType="solid">
          <fgColor rgb="00E8ECEF"/>
        </patternFill>
      </fill>
    </dxf>
    <dxf>
      <font>
        <name val="Arial"/>
        <b val="1"/>
        <color rgb="00A12B2B"/>
      </font>
      <fill>
        <patternFill patternType="solid">
          <fgColor rgb="00F7D9D9"/>
        </patternFill>
      </fill>
    </dxf>
    <dxf>
      <font>
        <name val="Arial"/>
        <b val="1"/>
        <color rgb="001F4E99"/>
      </font>
      <fill>
        <patternFill patternType="solid">
          <fgColor rgb="00DCE6F6"/>
        </patternFill>
      </fill>
    </dxf>
    <dxf>
      <font>
        <name val="Arial"/>
        <strike val="1"/>
        <color rgb="00A9A9A9"/>
      </font>
    </dxf>
    <dxf>
      <fill>
        <patternFill patternType="solid">
          <fgColor rgb="00FAF8F4"/>
        </patternFill>
      </fill>
    </dxf>
    <dxf>
      <font>
        <name val="Arial"/>
        <b val="1"/>
        <color rgb="002B2B2B"/>
      </font>
      <fill>
        <patternFill patternType="solid">
          <fgColor rgb="00F3DDB0"/>
        </patternFill>
      </fill>
    </dxf>
    <dxf>
      <font>
        <name val="Arial"/>
        <b val="1"/>
        <color rgb="002B2B2B"/>
      </font>
      <fill>
        <patternFill patternType="solid">
          <fgColor rgb="00CAD5EE"/>
        </patternFill>
      </fill>
    </dxf>
    <dxf>
      <font>
        <name val="Arial"/>
        <b val="1"/>
        <color rgb="002B2B2B"/>
      </font>
      <fill>
        <patternFill patternType="solid">
          <fgColor rgb="00CFE6D4"/>
        </patternFill>
      </fill>
    </dxf>
    <dxf>
      <font>
        <name val="Arial"/>
        <b val="1"/>
        <color rgb="002B2B2B"/>
      </font>
      <fill>
        <patternFill patternType="solid">
          <fgColor rgb="00D6E0E6"/>
        </patternFill>
      </fill>
    </dxf>
    <dxf>
      <font>
        <name val="Arial"/>
        <b val="1"/>
        <color rgb="002B2B2B"/>
      </font>
      <fill>
        <patternFill patternType="solid">
          <fgColor rgb="00E4D7E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EtherArchi</author>
  </authors>
  <commentList>
    <comment ref="A3" authorId="0" shapeId="0">
      <text>
        <t>英小文字と _ だけ（例 nao_easterly）。ほかのタブの行とつなぐ目印。あとから変えない</t>
      </text>
    </comment>
    <comment ref="A10" authorId="0" shapeId="0">
      <text>
        <t>メンバーが複数なら「名前 年-月-日（年齢）」を「、」で並べる</t>
      </text>
    </comment>
    <comment ref="A11" authorId="0" shapeId="0">
      <text>
        <t>曲の中心になる楽器と声。機種名・ブランド名は書かない（作曲の指示文に渡るため。機種名はメンバーの『使う楽器』へ）</t>
      </text>
    </comment>
    <comment ref="A18" authorId="0" shapeId="0">
      <text>
        <t>この組の曲が聴かれる場面。毎週の曲づくりの前提になる</t>
      </text>
    </comment>
    <comment ref="A31" authorId="0" shapeId="0">
      <text>
        <t>いまの暮らしと気持ち。ここを書き換えると、次の曲の空気が変わる</t>
      </text>
    </comment>
    <comment ref="A34" authorId="0" shapeId="0">
      <text>
        <t>ストアや SNS のプロフィールに使う英語の紹介文（3〜4 文）</t>
      </text>
    </comment>
  </commentList>
</comments>
</file>

<file path=xl/comments/comment2.xml><?xml version="1.0" encoding="utf-8"?>
<comments xmlns="http://schemas.openxmlformats.org/spreadsheetml/2006/main">
  <authors>
    <author>EtherArchi</author>
  </authors>
  <commentList>
    <comment ref="A3" authorId="0" shapeId="0">
      <text>
        <t>どの組のメンバーか（アーティストのタブの ID）</t>
      </text>
    </comment>
    <comment ref="A33" authorId="0" shapeId="0">
      <text>
        <t>デビューまでに働いてきた仕事。時期・場所・仕事の中身・そこで覚えたこと</t>
      </text>
    </comment>
    <comment ref="A37" authorId="0" shapeId="0">
      <text>
        <t>実際の機種名を書いてよい（例 1982 年製のポリシンセ）。作曲の指示文には機種名は渡さない</t>
      </text>
    </comment>
    <comment ref="A40" authorId="0" shapeId="0">
      <text>
        <t>弾き方・叩き方・歌い方の具体的な癖（右手のミュート、ゴーストノート など）</t>
      </text>
    </comment>
    <comment ref="A45" authorId="0" shapeId="0">
      <text>
        <t>実在のアーティスト名を書いてよい欄（作曲の指示文には渡さない）</t>
      </text>
    </comment>
  </commentList>
</comments>
</file>

<file path=xl/comments/comment3.xml><?xml version="1.0" encoding="utf-8"?>
<comments xmlns="http://schemas.openxmlformats.org/spreadsheetml/2006/main">
  <authors>
    <author>EtherArchi</author>
  </authors>
  <commentList>
    <comment ref="L1" authorId="0" shapeId="0">
      <text>
        <t>○ を付けた時期は、曲のテーマの候補として作曲の指示に渡る</t>
      </text>
    </comment>
  </commentList>
</comments>
</file>

<file path=xl/comments/comment4.xml><?xml version="1.0" encoding="utf-8"?>
<comments xmlns="http://schemas.openxmlformats.org/spreadsheetml/2006/main">
  <authors>
    <author>EtherArchi</author>
  </authors>
  <commentList>
    <comment ref="J1" authorId="0" shapeId="0">
      <text>
        <t>その影響が今の音のどこに出ているか。声・演奏・曲の形・見た目など</t>
      </text>
    </comment>
  </commentList>
</comments>
</file>

<file path=xl/comments/comment5.xml><?xml version="1.0" encoding="utf-8"?>
<comments xmlns="http://schemas.openxmlformats.org/spreadsheetml/2006/main">
  <authors>
    <author>EtherArchi</author>
  </authors>
  <commentList>
    <comment ref="F1" authorId="0" shapeId="0">
      <text>
        <t>○ を付けると、まだ歌にしていない新しい出来事から順に、毎週の曲のテーマになる</t>
      </text>
    </comment>
  </commentList>
</comments>
</file>

<file path=xl/comments/comment6.xml><?xml version="1.0" encoding="utf-8"?>
<comments xmlns="http://schemas.openxmlformats.org/spreadsheetml/2006/main">
  <authors>
    <author>EtherArchi</author>
  </authors>
  <commentList>
    <comment ref="G1" authorId="0" shapeId="0">
      <text>
        <t>lyrics・worldview・instruments・performance・structure・harmony・groove・phrase・vocal から 1〜3 個</t>
      </text>
    </comment>
    <comment ref="H1" authorId="0" shapeId="0">
      <text>
        <t>正規に購入して手元にあれば ○。解析すると、この組の曲づくりで優先される</t>
      </text>
    </comment>
  </commentList>
</comments>
</file>

<file path=xl/comments/comment7.xml><?xml version="1.0" encoding="utf-8"?>
<comments xmlns="http://schemas.openxmlformats.org/spreadsheetml/2006/main">
  <authors>
    <author>EtherArchi</author>
  </authors>
  <commentList>
    <comment ref="A21" authorId="0" shapeId="0">
      <text>
        <t>毎曲必ず入れる歌い方の癖。Suno のタグで書ける具体さで（例：サビ前に裏声の ooh を 1 本）</t>
      </text>
    </comment>
    <comment ref="A37" authorId="0" shapeId="0">
      <text>
        <t>曲の特徴を表す短い英語のタグ（例 morning, synth, uplift）。参考曲選びに使う</t>
      </text>
    </comment>
    <comment ref="A54" authorId="0" shapeId="0">
      <text>
        <t>核を固定＝サビなどをこちらで決め、残りを Suno に／全部書く／お題だけ＝歌詞を Suno に任せる／歌なし</t>
      </text>
    </comment>
    <comment ref="A56" authorId="0" shapeId="0">
      <text>
        <t>相性のよい組の ID（例 hollowplan）</t>
      </text>
    </comment>
    <comment ref="A57" authorId="0" shapeId="0">
      <text>
        <t>リミックス役の組は、ここに remix の語を入れる（5 週に 1 回のリミックスの担当になる）</t>
      </text>
    </comment>
  </commentList>
</comments>
</file>

<file path=xl/comments/comment8.xml><?xml version="1.0" encoding="utf-8"?>
<comments xmlns="http://schemas.openxmlformats.org/spreadsheetml/2006/main">
  <authors>
    <author>EtherArchi</author>
  </authors>
  <commentList>
    <comment ref="A12" authorId="0" shapeId="0">
      <text>
        <t>顔は絶対に見せない。逆光・後ろ姿・手元など</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sheet1.xml><?xml version="1.0" encoding="utf-8"?>
<worksheet xmlns="http://schemas.openxmlformats.org/spreadsheetml/2006/main">
  <sheetPr>
    <tabColor rgb="002B2B2B"/>
    <outlinePr summaryBelow="1" summaryRight="1"/>
    <pageSetUpPr/>
  </sheetPr>
  <dimension ref="B2:D37"/>
  <sheetViews>
    <sheetView showGridLines="0" workbookViewId="0">
      <selection activeCell="A1" sqref="A1"/>
    </sheetView>
  </sheetViews>
  <sheetFormatPr baseColWidth="8" defaultRowHeight="15"/>
  <cols>
    <col width="3" customWidth="1" min="1" max="1"/>
    <col width="20" customWidth="1" min="2" max="2"/>
    <col width="70" customWidth="1" min="3" max="3"/>
    <col width="10" customWidth="1" min="4" max="4"/>
  </cols>
  <sheetData>
    <row r="2" ht="30" customHeight="1">
      <c r="B2" s="1" t="inlineStr">
        <is>
          <t>EtherArchi アーティスト管理表</t>
        </is>
      </c>
    </row>
    <row r="3" ht="30" customHeight="1">
      <c r="B3" s="2" t="inlineStr">
        <is>
          <t>所属アーティストの人生と、曲づくりの設定をまとめた正本です。書き足すと、次の曲づくりから使われます（毎週火曜の朝に機械が読み込みます）。</t>
        </is>
      </c>
    </row>
    <row r="5">
      <c r="B5" s="3" t="inlineStr">
        <is>
          <t>状態の色</t>
        </is>
      </c>
    </row>
    <row r="6">
      <c r="B6" s="4" t="inlineStr">
        <is>
          <t>提案</t>
        </is>
      </c>
      <c r="C6" s="5" t="inlineStr">
        <is>
          <t>機械の案。読んで、採用・保留・却下を決める</t>
        </is>
      </c>
    </row>
    <row r="7">
      <c r="B7" s="6" t="inlineStr">
        <is>
          <t>採用</t>
        </is>
      </c>
      <c r="C7" s="5" t="inlineStr">
        <is>
          <t>使う（空欄も採用の扱い）</t>
        </is>
      </c>
    </row>
    <row r="8">
      <c r="B8" s="7" t="inlineStr">
        <is>
          <t>保留</t>
        </is>
      </c>
      <c r="C8" s="5" t="inlineStr">
        <is>
          <t>あとで決める（使わない）</t>
        </is>
      </c>
    </row>
    <row r="9">
      <c r="B9" s="8" t="inlineStr">
        <is>
          <t>却下</t>
        </is>
      </c>
      <c r="C9" s="5" t="inlineStr">
        <is>
          <t>使わない（行は消さずに残すと、同じ案が出にくい）</t>
        </is>
      </c>
    </row>
    <row r="10">
      <c r="B10" s="9" t="inlineStr">
        <is>
          <t>反映済み</t>
        </is>
      </c>
      <c r="C10" s="5" t="inlineStr">
        <is>
          <t>変更の提案を書き込んだ</t>
        </is>
      </c>
    </row>
    <row r="12">
      <c r="B12" s="3" t="inlineStr">
        <is>
          <t>タブの案内</t>
        </is>
      </c>
    </row>
    <row r="13">
      <c r="B13" s="10" t="inlineStr">
        <is>
          <t>タブ</t>
        </is>
      </c>
      <c r="C13" s="10" t="inlineStr">
        <is>
          <t>書くこと</t>
        </is>
      </c>
      <c r="D13" s="10" t="inlineStr">
        <is>
          <t>件数</t>
        </is>
      </c>
    </row>
    <row r="14">
      <c r="B14" s="11" t="inlineStr">
        <is>
          <t>アーティスト</t>
        </is>
      </c>
      <c r="C14" s="12" t="inlineStr">
        <is>
          <t>1 列 = 1 組。名前・出身・デビューの経緯・人間関係・価値観・今の章（縦型）</t>
        </is>
      </c>
      <c r="D14" s="13">
        <f>COUNTA('アーティスト'!3:3)-1</f>
        <v/>
      </c>
    </row>
    <row r="15">
      <c r="B15" s="11" t="inlineStr">
        <is>
          <t>メンバー</t>
        </is>
      </c>
      <c r="C15" s="12" t="inlineStr">
        <is>
          <t>1 列 = 1 人。年齢・見た目・性格・話し方・家族・仕事・楽器と演奏・好き嫌い（縦型）</t>
        </is>
      </c>
      <c r="D15" s="13">
        <f>COUNTA('メンバー'!4:4)-1</f>
        <v/>
      </c>
    </row>
    <row r="16">
      <c r="B16" s="11" t="inlineStr">
        <is>
          <t>人生年表</t>
        </is>
      </c>
      <c r="C16" s="12" t="inlineStr">
        <is>
          <t>生まれてから今と、これから。1 行 = 1 つの時期</t>
        </is>
      </c>
      <c r="D16" s="13">
        <f>COUNTA('人生年表'!A:A)-1</f>
        <v/>
      </c>
    </row>
    <row r="17">
      <c r="B17" s="11" t="inlineStr">
        <is>
          <t>デビューの経緯</t>
        </is>
      </c>
      <c r="C17" s="12" t="inlineStr">
        <is>
          <t>配信の前に、どこでどう人が集まったか</t>
        </is>
      </c>
      <c r="D17" s="13">
        <f>COUNTA('デビューの経緯'!A:A)-1</f>
        <v/>
      </c>
    </row>
    <row r="18">
      <c r="B18" s="11" t="inlineStr">
        <is>
          <t>傷・タトゥー</t>
        </is>
      </c>
      <c r="C18" s="12" t="inlineStr">
        <is>
          <t>傷とタトゥー（無い人は『なし』と理由）</t>
        </is>
      </c>
      <c r="D18" s="13">
        <f>COUNTA('傷・タトゥー'!A:A)-1</f>
        <v/>
      </c>
    </row>
    <row r="19">
      <c r="B19" s="11" t="inlineStr">
        <is>
          <t>影響</t>
        </is>
      </c>
      <c r="C19" s="12" t="inlineStr">
        <is>
          <t>影響を受けた実在の音楽・本・絵・映画・言葉</t>
        </is>
      </c>
      <c r="D19" s="13">
        <f>COUNTA('影響'!A:A)-1</f>
        <v/>
      </c>
    </row>
    <row r="20">
      <c r="B20" s="14" t="inlineStr">
        <is>
          <t>歌の種</t>
        </is>
      </c>
      <c r="C20" s="12" t="inlineStr">
        <is>
          <t>人生の出来事から生まれた歌のアイデア</t>
        </is>
      </c>
      <c r="D20" s="13">
        <f>COUNTA('歌の種'!A:A)-1</f>
        <v/>
      </c>
    </row>
    <row r="21">
      <c r="B21" s="14" t="inlineStr">
        <is>
          <t>歌詞の試作</t>
        </is>
      </c>
      <c r="C21" s="12" t="inlineStr">
        <is>
          <t>歌詞の試作（英語）と日本語の意味</t>
        </is>
      </c>
      <c r="D21" s="13">
        <f>COUNTA('歌詞の試作'!A:A)-1</f>
        <v/>
      </c>
    </row>
    <row r="22">
      <c r="B22" s="14" t="inlineStr">
        <is>
          <t>近況</t>
        </is>
      </c>
      <c r="C22" s="12" t="inlineStr">
        <is>
          <t>最近の出来事と気持ち。『歌にする』○ で次の曲のテーマに</t>
        </is>
      </c>
      <c r="D22" s="13">
        <f>COUNTA('近況'!A:A)-1</f>
        <v/>
      </c>
    </row>
    <row r="23">
      <c r="B23" s="14" t="inlineStr">
        <is>
          <t>参考曲の候補</t>
        </is>
      </c>
      <c r="C23" s="12" t="inlineStr">
        <is>
          <t>この組が選びそうな実在の参考曲。入手・解析の印</t>
        </is>
      </c>
      <c r="D23" s="13">
        <f>COUNTA('参考曲の候補'!A:A)-1</f>
        <v/>
      </c>
    </row>
    <row r="24">
      <c r="B24" s="14" t="inlineStr">
        <is>
          <t>声と曲づくり</t>
        </is>
      </c>
      <c r="C24" s="12" t="inlineStr">
        <is>
          <t>1 列 = 1 組。声・歌い方・癖・音・曲の形・歌詞の決まり（縦型）</t>
        </is>
      </c>
      <c r="D24" s="13">
        <f>COUNTA('声と曲づくり'!1:1)-1</f>
        <v/>
      </c>
    </row>
    <row r="25">
      <c r="B25" s="15" t="inlineStr">
        <is>
          <t>見た目</t>
        </is>
      </c>
      <c r="C25" s="12" t="inlineStr">
        <is>
          <t>1 列 = 1 組。部屋・光・色・顔を見せない方法・ロゴ・写真（縦型）</t>
        </is>
      </c>
      <c r="D25" s="13">
        <f>COUNTA('見た目'!1:1)-1</f>
        <v/>
      </c>
    </row>
    <row r="26">
      <c r="B26" s="16" t="inlineStr">
        <is>
          <t>変更の提案</t>
        </is>
      </c>
      <c r="C26" s="12" t="inlineStr">
        <is>
          <t>方針転換などで機械が出す変更の案</t>
        </is>
      </c>
      <c r="D26" s="13">
        <f>COUNTA('変更の提案'!A:A)-1</f>
        <v/>
      </c>
    </row>
    <row r="28">
      <c r="B28" s="3" t="inlineStr">
        <is>
          <t>書き方のきまり</t>
        </is>
      </c>
    </row>
    <row r="29" ht="30" customHeight="1">
      <c r="B29" s="17" t="inlineStr">
        <is>
          <t>・</t>
        </is>
      </c>
      <c r="C29" s="18" t="inlineStr">
        <is>
          <t>状態は、提案＝機械の案／採用＝使う／保留＝あとで決める／却下＝使わない。空欄は採用として扱います。機械は『提案』を足すだけで、採用はしません。</t>
        </is>
      </c>
    </row>
    <row r="30" ht="30" customHeight="1">
      <c r="B30" s="17" t="inlineStr">
        <is>
          <t>・</t>
        </is>
      </c>
      <c r="C30" s="18" t="inlineStr">
        <is>
          <t>アーティスト・メンバー・声と曲づくり・見た目のタブは縦型です。1 列が 1 組（1 人）で、組を横に並べて見比べられます。新しい組は右の空いた列に書きます。</t>
        </is>
      </c>
    </row>
    <row r="31" ht="30" customHeight="1">
      <c r="B31" s="17" t="inlineStr">
        <is>
          <t>・</t>
        </is>
      </c>
      <c r="C31" s="18" t="inlineStr">
        <is>
          <t>人生年表・デビューの経緯・傷とタトゥー・影響・歌の種・歌詞の試作・近況・参考曲の候補は横型です。1 つの出来事・1 項目を 1 行で、何行でも足せます。</t>
        </is>
      </c>
    </row>
    <row r="32" ht="30" customHeight="1">
      <c r="B32" s="17" t="inlineStr">
        <is>
          <t>・</t>
        </is>
      </c>
      <c r="C32" s="18" t="inlineStr">
        <is>
          <t>組とのつながりは ID（英小文字と _。例 nao_easterly）で、メンバーとのつながりはメンバーID で書きます。</t>
        </is>
      </c>
    </row>
    <row r="33" ht="30" customHeight="1">
      <c r="B33" s="17" t="inlineStr">
        <is>
          <t>・</t>
        </is>
      </c>
      <c r="C33" s="18" t="inlineStr">
        <is>
          <t>複数の値は「、」か改行で区切ります（例：好きな色 → 朝の水色、生成り）。○ は『はい』の意味です。</t>
        </is>
      </c>
    </row>
    <row r="34" ht="30" customHeight="1">
      <c r="B34" s="17" t="inlineStr">
        <is>
          <t>・</t>
        </is>
      </c>
      <c r="C34" s="18" t="inlineStr">
        <is>
          <t>実在のアーティスト名・曲名・本の題名は『影響』と『参考曲の候補』のタブにだけ書きます。ほかの欄に書くと、作曲の指示文に混ざるおそれがあります。</t>
        </is>
      </c>
    </row>
    <row r="35" ht="30" customHeight="1">
      <c r="B35" s="17" t="inlineStr">
        <is>
          <t>・</t>
        </is>
      </c>
      <c r="C35" s="18" t="inlineStr">
        <is>
          <t>毎週の曲のテーマは『近況』で『歌にする』に ○ が付いた新しい出来事 → 『歌の種』の順に、まだ使っていないものから選ばれます。</t>
        </is>
      </c>
    </row>
    <row r="36" ht="30" customHeight="1">
      <c r="B36" s="17" t="inlineStr">
        <is>
          <t>・</t>
        </is>
      </c>
      <c r="C36" s="18" t="inlineStr">
        <is>
          <t>見出し（項目名）の文字は変えないでください。機械は見出しの文字で読みます。列や行の順番を入れ替えるのは大丈夫です。</t>
        </is>
      </c>
    </row>
    <row r="37" ht="30" customHeight="1">
      <c r="B37" s="17" t="inlineStr">
        <is>
          <t>・</t>
        </is>
      </c>
      <c r="C37" s="18" t="inlineStr">
        <is>
          <t>灰色の小さな文字の ID は機械用の目印です。見出しにカーソルを置くと、書き方の説明が出るものがあります。</t>
        </is>
      </c>
    </row>
  </sheetData>
  <mergeCells count="10">
    <mergeCell ref="C34:D34"/>
    <mergeCell ref="B3:D3"/>
    <mergeCell ref="C29:D29"/>
    <mergeCell ref="C30:D30"/>
    <mergeCell ref="C32:D32"/>
    <mergeCell ref="C33:D33"/>
    <mergeCell ref="C37:D37"/>
    <mergeCell ref="C36:D36"/>
    <mergeCell ref="C31:D31"/>
    <mergeCell ref="C35:D35"/>
  </mergeCells>
  <pageMargins left="0.75" right="0.75" top="1" bottom="1" header="0.5" footer="0.5"/>
</worksheet>
</file>

<file path=xl/worksheets/sheet2.xml><?xml version="1.0" encoding="utf-8"?>
<worksheet xmlns="http://schemas.openxmlformats.org/spreadsheetml/2006/main">
  <sheetPr>
    <tabColor rgb="00B89B72"/>
    <outlinePr summaryBelow="1" summaryRight="1"/>
    <pageSetUpPr/>
  </sheetPr>
  <dimension ref="A1:F36"/>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46" customWidth="1" min="2" max="2"/>
    <col width="46" customWidth="1" min="3" max="3"/>
    <col width="46" customWidth="1" min="4" max="4"/>
    <col width="46" customWidth="1" min="5" max="5"/>
    <col width="46" customWidth="1" min="6" max="6"/>
  </cols>
  <sheetData>
    <row r="1" ht="28" customHeight="1">
      <c r="A1" s="19" t="inlineStr">
        <is>
          <t>名前</t>
        </is>
      </c>
      <c r="B1" s="20" t="inlineStr">
        <is>
          <t>DECLAN FAY</t>
        </is>
      </c>
      <c r="C1" s="21" t="inlineStr">
        <is>
          <t>HOLLOWPLAN</t>
        </is>
      </c>
      <c r="D1" s="22" t="inlineStr">
        <is>
          <t>VERNALIGHT</t>
        </is>
      </c>
      <c r="E1" s="23" t="inlineStr">
        <is>
          <t>SOFT CANTILEVER</t>
        </is>
      </c>
      <c r="F1" s="24" t="inlineStr">
        <is>
          <t>TIDEWOOL</t>
        </is>
      </c>
    </row>
    <row r="2">
      <c r="A2" s="25" t="inlineStr">
        <is>
          <t>状態</t>
        </is>
      </c>
      <c r="B2" s="13" t="inlineStr">
        <is>
          <t>採用</t>
        </is>
      </c>
      <c r="C2" s="13" t="inlineStr">
        <is>
          <t>採用</t>
        </is>
      </c>
      <c r="D2" s="13" t="inlineStr">
        <is>
          <t>採用</t>
        </is>
      </c>
      <c r="E2" s="13" t="inlineStr">
        <is>
          <t>採用</t>
        </is>
      </c>
      <c r="F2" s="13" t="inlineStr">
        <is>
          <t>採用</t>
        </is>
      </c>
    </row>
    <row r="3">
      <c r="A3" s="26" t="inlineStr">
        <is>
          <t>ID</t>
        </is>
      </c>
      <c r="B3" s="27" t="inlineStr">
        <is>
          <t>declan_fay</t>
        </is>
      </c>
      <c r="C3" s="27" t="inlineStr">
        <is>
          <t>hollowplan</t>
        </is>
      </c>
      <c r="D3" s="27" t="inlineStr">
        <is>
          <t>nao_easterly</t>
        </is>
      </c>
      <c r="E3" s="27" t="inlineStr">
        <is>
          <t>soft_cantilever</t>
        </is>
      </c>
      <c r="F3" s="27" t="inlineStr">
        <is>
          <t>tidewool</t>
        </is>
      </c>
    </row>
    <row r="4" ht="20" customHeight="1">
      <c r="A4" s="28" t="inlineStr">
        <is>
          <t>■ 基本</t>
        </is>
      </c>
      <c r="B4" s="29" t="n"/>
      <c r="C4" s="29" t="n"/>
      <c r="D4" s="29" t="n"/>
      <c r="E4" s="29" t="n"/>
      <c r="F4" s="29" t="n"/>
    </row>
    <row r="5">
      <c r="A5" s="26" t="inlineStr">
        <is>
          <t>読み方</t>
        </is>
      </c>
      <c r="B5" s="12" t="inlineStr">
        <is>
          <t>デクラン・フェイ</t>
        </is>
      </c>
      <c r="C5" s="12" t="inlineStr">
        <is>
          <t>ホロウプラン</t>
        </is>
      </c>
      <c r="D5" s="12" t="inlineStr">
        <is>
          <t>ヴァーナライト</t>
        </is>
      </c>
      <c r="E5" s="12" t="inlineStr">
        <is>
          <t>ソフト・カンチレバー</t>
        </is>
      </c>
      <c r="F5" s="12" t="inlineStr">
        <is>
          <t>タイドウール</t>
        </is>
      </c>
    </row>
    <row r="6">
      <c r="A6" s="26" t="inlineStr">
        <is>
          <t>名前の由来</t>
        </is>
      </c>
      <c r="B6" s="12" t="inlineStr">
        <is>
          <t>本名デクラン・トゥーミー。幼い頃、町の小さな発表会で母のピアノに合わせて歌い拍手を浴びたとき、ホームビデオを撮っていた父が『まるで妖精のようだ』と言った。その場面から Fay（妖精の意）を名前に掛け合わせた。トロントのラジオ局で深夜の小さな番組のパーソナリティーを務めていた頃、リスナーの間で『夜の癒やし担当＝Fay』というあだ名で呼ばれていたことも重なっている。</t>
        </is>
      </c>
      <c r="C6" s="12" t="inlineStr">
        <is>
          <t>plan（平面図）の真ん中にある何もない場所＝hollow（中庭・吹き抜け）から。模型の仕事で毎日カッターでくり抜いているのが、この空白。10 歳で見たクマシの祖母の家の中庭と、大学で出会った『部屋が役に立つのは何も無いところ』という古い言葉が重なって付けた。真ん中を空けておけば、人も音も入ってこられる、という意味。</t>
        </is>
      </c>
      <c r="D6" s="12" t="inlineStr">
        <is>
          <t>vernal（春の・春分の）と light（光）をつなげた造語。春分は太陽が真東から昇る日で、本人はその日の明け方に生まれた。毎朝東へ走り、配送ルートの終わりで日の出を迎える本人が、本名の Harlan より、自分が生まれた朝の光の名前のほうが自分に近いと感じて付けた。冬にコロンビア川の峡谷から吹き出す東風が連れてくる、澄んだ晴れの朝の光でもある。</t>
        </is>
      </c>
      <c r="E6" s="12" t="inlineStr">
        <is>
          <t>建築用語の cantilever（片持ち梁：片側だけを固定して宙に張り出す構造）に soft を付けた名前。2017 年の構造の授業で、3 人の班が作ったバルサ材の片持ち梁は 1 本目が硬すぎて 2 kg で折れ、薄板を重ねた 2 本目は大きくたわみながら 4 kg まで持ちこたえた。提出票の名前欄にタヴが書いたのが 'soft cantilever' で、翌年バンドを始めたときにそのまま使った。硬く突っ張るのではなく、少したわみながら持ちこたえる。誰か 1 人が張り出すときは、残りの 2 人が根元を支えるという 3 人の約束でもある。</t>
        </is>
      </c>
      <c r="F6" s="12" t="inlineStr">
        <is>
          <t>tide（潮）＋ wool（羊毛）。ゲシンが育った潮待ちの港と、アイラが育った羊の牧場。2 人の手が毎日触れている 2 つの素材をそのまま名前にした。2020 年の編み物配信で『この曲は誰？』と聞かれ、アイラがとっさに答えた仮の名前がそのまま残った。</t>
        </is>
      </c>
    </row>
    <row r="7">
      <c r="A7" s="26" t="inlineStr">
        <is>
          <t>構成</t>
        </is>
      </c>
      <c r="B7" s="12" t="inlineStr">
        <is>
          <t>ソロ</t>
        </is>
      </c>
      <c r="C7" s="12" t="inlineStr">
        <is>
          <t>プロデューサー</t>
        </is>
      </c>
      <c r="D7" s="12" t="inlineStr">
        <is>
          <t>ソロ</t>
        </is>
      </c>
      <c r="E7" s="12" t="inlineStr">
        <is>
          <t>バンド</t>
        </is>
      </c>
      <c r="F7" s="12" t="inlineStr">
        <is>
          <t>デュオ</t>
        </is>
      </c>
    </row>
    <row r="8">
      <c r="A8" s="26" t="inlineStr">
        <is>
          <t>レーベル</t>
        </is>
      </c>
      <c r="B8" s="12" t="inlineStr">
        <is>
          <t>Postdog Records</t>
        </is>
      </c>
      <c r="C8" s="12" t="inlineStr">
        <is>
          <t>Postdog Records</t>
        </is>
      </c>
      <c r="D8" s="12" t="inlineStr">
        <is>
          <t>Postdog Records</t>
        </is>
      </c>
      <c r="E8" s="12" t="inlineStr">
        <is>
          <t>Postdog Records</t>
        </is>
      </c>
      <c r="F8" s="12" t="inlineStr">
        <is>
          <t>Postdog Records</t>
        </is>
      </c>
    </row>
    <row r="9">
      <c r="A9" s="26" t="inlineStr">
        <is>
          <t>性別</t>
        </is>
      </c>
      <c r="B9" s="12" t="inlineStr">
        <is>
          <t>男性</t>
        </is>
      </c>
      <c r="C9" s="12" t="inlineStr">
        <is>
          <t>女性</t>
        </is>
      </c>
      <c r="D9" s="12" t="inlineStr">
        <is>
          <t>女性</t>
        </is>
      </c>
      <c r="E9" s="12" t="inlineStr">
        <is>
          <t>男性 2 人・女性 1 人（キノとタヴは男性、ビアは女性）</t>
        </is>
      </c>
      <c r="F9" s="12" t="inlineStr">
        <is>
          <t>女性・男性（アイラは女性、ゲシンは男性）</t>
        </is>
      </c>
    </row>
    <row r="10">
      <c r="A10" s="26" t="inlineStr">
        <is>
          <t>生年月日（現在の年齢）</t>
        </is>
      </c>
      <c r="B10" s="12" t="inlineStr">
        <is>
          <t>1993-02-04（33 歳）</t>
        </is>
      </c>
      <c r="C10" s="12" t="inlineStr">
        <is>
          <t>1997-03-11（29 歳）</t>
        </is>
      </c>
      <c r="D10" s="12" t="inlineStr">
        <is>
          <t>2002-03-20（24 歳）</t>
        </is>
      </c>
      <c r="E10" s="12" t="inlineStr">
        <is>
          <t>キノ 1998-05-21（28 歳）、ビア 1997-02-09（29 歳）、タヴ 1999-01-11（27 歳）</t>
        </is>
      </c>
      <c r="F10" s="12" t="inlineStr">
        <is>
          <t>アイラ 1995-04-17（31 歳）、ゲシン 1990-02-11（36 歳）</t>
        </is>
      </c>
    </row>
    <row r="11">
      <c r="A11" s="26" t="inlineStr">
        <is>
          <t>曲で使用するメインの楽器</t>
        </is>
      </c>
      <c r="B11" s="12" t="inlineStr">
        <is>
          <t>アナログ・ポリシンセのパッドとアルペジオ、1980 年代のドラムマシン（ゲートのかかったスネア）、低く温かいバリトンの声</t>
        </is>
      </c>
      <c r="C11" s="12" t="inlineStr">
        <is>
          <t>1970 年代のエレクトリックピアノ（9th と 11th の和音）、サンプラーで切って並べた息と声の切れ端、柔らかい四つ打ちのドラム、丸いサブベース</t>
        </is>
      </c>
      <c r="D11" s="12" t="inlineStr">
        <is>
          <t>明るいアナログ風シンセの 8 分のアルペジオ、クリーンなエレキギターのミュートカッティング、短く弾むシンセベース、本人の明るく澄んだ声</t>
        </is>
      </c>
      <c r="E11" s="12" t="inlineStr">
        <is>
          <t>シングルコイルのエレキギターのクリーンなカッティング（キノ）、指弾きのエレキベース（ビア）、乾いたスネアの生ドラム（タヴ）、サビの裏で薄く鳴る 12 弦アコースティックギター</t>
        </is>
      </c>
      <c r="F11" s="12" t="inlineStr">
        <is>
          <t>指弾きのスチール弦アコースティックギター（アイラ）、足踏みリードオルガンの持続音とマンドリン（ゲシン）、二人の声のハーモニー</t>
        </is>
      </c>
    </row>
    <row r="12">
      <c r="A12" s="26" t="inlineStr">
        <is>
          <t>更新日</t>
        </is>
      </c>
      <c r="B12" s="12" t="inlineStr">
        <is>
          <t>2026-10-08</t>
        </is>
      </c>
      <c r="C12" s="12" t="inlineStr">
        <is>
          <t>2026-10-08</t>
        </is>
      </c>
      <c r="D12" s="12" t="inlineStr">
        <is>
          <t>2026-10-13</t>
        </is>
      </c>
      <c r="E12" s="12" t="inlineStr">
        <is>
          <t>2026-10-08</t>
        </is>
      </c>
      <c r="F12" s="12" t="inlineStr">
        <is>
          <t>2026-10-08</t>
        </is>
      </c>
    </row>
    <row r="13" ht="20" customHeight="1">
      <c r="A13" s="28" t="inlineStr">
        <is>
          <t>■ 生まれと暮らし</t>
        </is>
      </c>
      <c r="B13" s="29" t="n"/>
      <c r="C13" s="29" t="n"/>
      <c r="D13" s="29" t="n"/>
      <c r="E13" s="29" t="n"/>
      <c r="F13" s="29" t="n"/>
    </row>
    <row r="14">
      <c r="A14" s="26" t="inlineStr">
        <is>
          <t>出身の設定</t>
        </is>
      </c>
      <c r="B14" s="12" t="inlineStr">
        <is>
          <t>アイルランド・コーク市の北側メイフィールド生まれ。両親の家は隣のブラックプール地区。両親ともコーク育ちの労働者家庭で、ラジオと車と台所の会話の中で育った。</t>
        </is>
      </c>
      <c r="C14" s="12" t="inlineStr">
        <is>
          <t>1997 年 3 月、ロンドン南部ペッカム（サザーク区）でガーナ人の両親のもとに生まれる。父はクマシ出身のアシャンティ、母はケープコースト出身のファンティ。2003 年に父の転職でリーズへ移り、ハーヘルズの背中合わせの長屋（バック・トゥ・バック）で、2010 年からはラウンドヘイの二軒長屋で育った。シェフィールドで建築を学んだあと、2018 年にロンドンへ戻った。</t>
        </is>
      </c>
      <c r="D14" s="12" t="inlineStr">
        <is>
          <t>米国オレゴン州フッドリバー郡オデル生まれ（梨とリンゴの果樹園の町）。母は北海道函館市の西部地区（弥生町）出身、父はオレゴン州ザ・ダルズ育ちの州の道路保守班の作業員。0〜9 歳はオデルで暮らし、6〜9 歳の夏は函館の小学校に体験入学。10〜11 歳は祖母のリハビリを手伝うため母と弟と函館で暮らし、12〜19 歳は再びフッドリバー。20 歳で祖父を亡くして函館の祖母の家に 11 か月住み、21 歳の春からポートランドで暮らしている。</t>
        </is>
      </c>
      <c r="E14" s="12" t="inlineStr">
        <is>
          <t>メルボルンの総合大学の建築学部で 2017 年に同じ班になった 3 人。リードのキノはメルボルン西部 St Albans 生まれのフィリピン系オーストラリア人。ベースのビアはブラジル・ロンドリーナ生まれの日系 3 世で、6〜12 歳を静岡県浜松の団地で過ごし、サンパウロを経て留学生としてメルボルンへ来た。ドラムのタヴはニュージーランド・ネイピア育ちのサモア系とスコットランド系の両親を持つ男性で、13 歳で一家ごとメルボルン南東部 Frankston へ移った。</t>
        </is>
      </c>
      <c r="F14" s="12" t="inlineStr">
        <is>
          <t>女性はニュージーランド南島オタゴ地方・マニオトト平原の羊牧場、男性はウェールズ・ペンブルックシャーの小さな潮待ち港ソルヴァの船大工の家。地球の反対側で育った 2 人が、イングランド南西端のコーンウォールで出会った。</t>
        </is>
      </c>
    </row>
    <row r="15">
      <c r="A15" s="26" t="inlineStr">
        <is>
          <t>今の拠点</t>
        </is>
      </c>
      <c r="B15" s="12" t="inlineStr">
        <is>
          <t>カナダ・トロント・パークデール（クイーン・ストリート・ウエストとジェイムソン・アベニューの近く。ヴィクトリア朝の古い家の 2 階で、南向きの出窓からガーディナー高速の街灯の列が見える）</t>
        </is>
      </c>
      <c r="C15" s="12" t="inlineStr">
        <is>
          <t>ロンドン東部レイトン（E10）。ヴィクトリア朝のテラスハウス最上階の屋根裏の 1 ベッドルーム（2025 年から）。職場はハックニー・ウィックの運河沿いの建築模型工房。リーズの実家へは夜行の長距離バスで帰る。</t>
        </is>
      </c>
      <c r="D15" s="12" t="inlineStr">
        <is>
          <t>米国オレゴン州ポートランド北東部のハリウッド地区。州間高速 84 号線の切り通しから 2 ブロックの、1920 年代のれんが造り 4 戸建てアパートの 2 階（1 寝室・約 42㎡・東向きの出窓）。</t>
        </is>
      </c>
      <c r="E15" s="12" t="inlineStr">
        <is>
          <t>オーストラリア・メルボルン。リハーサルと録音は北部 Brunswick East の元板金工場（家具職人とシェア）。キノは西部 Footscray、ビアは北部 Brunswick、タヴは北部 Coburg に住む。</t>
        </is>
      </c>
      <c r="F15" s="12" t="inlineStr">
        <is>
          <t>イングランド・コーンウォール州ペンリン（ファルマスの隣、ペンリン川に下る坂の町）。花崗岩の 2 階建てテラスハウスで暮らし、録音は川沿いのボートヤードにある古い網小屋の 2 階で行う。</t>
        </is>
      </c>
    </row>
    <row r="16">
      <c r="A16" s="26" t="inlineStr">
        <is>
          <t>文化</t>
        </is>
      </c>
      <c r="B16" s="12" t="inlineStr">
        <is>
          <t>コーク北側の労働者家庭の、口数は少ないが冗談の多い文化。トロントでは移民 10 年目で、ポルトガル系・カリブ系・フィリピン系の夜勤仲間に囲まれて暮らす。5 時間の時差で二つの都市の時刻を同時に数えるのが日常になっている。</t>
        </is>
      </c>
      <c r="C16" s="12" t="inlineStr">
        <is>
          <t>家ではガーナの文化（日曜の教会・トウィ語・ライトスープとフフ・葬儀を皆で大きく営むこと・年長者への挨拶）。外ではヨークシャーの気取らなさ（濃い紅茶・日曜のロースト・言い切る話し方）。今はロンドン東部の工房とコミュニティラジオの夜の文化の中にいる。どれか 1 つを選ばず、場面ごとに切り替えて暮らしている。</t>
        </is>
      </c>
      <c r="D16" s="12" t="inlineStr">
        <is>
          <t>家の中は英語と日本語が半々で、父とは英語、母と祖母とは函館の言葉が混じる日本語で話す。父の側はオレゴンの小さな町の働く人の文化（朝が早く・無口で・ピックアップと業務無線と魔法瓶）、母の側は港町の文化（漁の時間・朝市・塩ラーメン・正月の雑煮）。本人は 2 つの文化の共通点を「朝早く働く人の暮らし」だと思っていて、どちらの国にいても夜明け前に起きる。家では靴を脱ぎ、感謝祭の翌朝は母のおにぎりを持って父と山の道を見に行く。</t>
        </is>
      </c>
      <c r="E16" s="12" t="inlineStr">
        <is>
          <t>多文化のメルボルン郊外の暮らし（ガソリンスタンド＝servo のミートパイ・日曜の家族の昼食・長距離のドライブ旅行）と、建築学部のスタジオ文化（ピンナップ講評・徹夜の模型・トレーシングペーパー）が土台。そこにフィリピンの家族パーティーのカラオケ、日系ブラジル人の団地と移住の暮らし、サモアの教会の合唱が混ざっている。</t>
        </is>
      </c>
      <c r="F16" s="12" t="inlineStr">
        <is>
          <t>スコットランド系とオランダ系の牧場文化（毛刈り・手紡ぎ・日曜の焼き菓子）と、ウェールズ語の礼拝堂の合唱と港の船大工の文化。今暮らすコーンウォールの漁師のセーター（ガンジー）と、6 人漕ぎの木のボート（パイロットギグ）を漕ぐ文化が、2 人の共通語になっている。</t>
        </is>
      </c>
    </row>
    <row r="17" ht="20" customHeight="1">
      <c r="A17" s="28" t="inlineStr">
        <is>
          <t>■ 活動</t>
        </is>
      </c>
      <c r="B17" s="29" t="n"/>
      <c r="C17" s="29" t="n"/>
      <c r="D17" s="29" t="n"/>
      <c r="E17" s="29" t="n"/>
      <c r="F17" s="29" t="n"/>
    </row>
    <row r="18">
      <c r="A18" s="26" t="inlineStr">
        <is>
          <t>聴かれる場面</t>
        </is>
      </c>
      <c r="B18" s="12" t="inlineStr">
        <is>
          <t>夜のドライブ・街灯・環状線（夜勤明けの午前 1〜4 時の高速と湖岸道路）</t>
        </is>
      </c>
      <c r="C18" s="12" t="inlineStr">
        <is>
          <t>全場面のつなぎ・深夜の長距離・無心の区間（夜行バスや深夜の高速で、何も考えなくていい時間）</t>
        </is>
      </c>
      <c r="D18" s="12" t="inlineStr">
        <is>
          <t>朝の高速・日の出・東へ走る</t>
        </is>
      </c>
      <c r="E18" s="12" t="inlineStr">
        <is>
          <t>昼のハイウェイ・開放感・サービスエリア</t>
        </is>
      </c>
      <c r="F18" s="12" t="inlineStr">
        <is>
          <t>雨の海岸線・郊外の県道（イギリスでいう B 道路）。ワイパーがゆっくり往復する速さで、窓の曇りを拭きながら聴かれる。</t>
        </is>
      </c>
    </row>
    <row r="19">
      <c r="A19" s="26" t="inlineStr">
        <is>
          <t>強み</t>
        </is>
      </c>
      <c r="B19" s="12" t="inlineStr">
        <is>
          <t>低く温かいバリトンと語りの説得力、深夜ラジオの技術者として身につけたテープ・ヒス・送出の音の扱い、具体的な時刻と場所から描かれそこで働く人、休憩している人などに安らぎやホッとするような希望を見出せるような歌詞、夜勤や長距離運転の人々との直接のつながり、顔を出さず時刻と道路だけで成立する映像の型</t>
        </is>
      </c>
      <c r="C19" s="12" t="inlineStr">
        <is>
          <t>4 時間走っても耳が疲れない音の密度の設計、息と声の切れ端だけで旋律の代わりを作る技術、他の 4 組の曲をほどいて 1 本のつなぎに組み直すリミックスの手つき、工房の実音（カッター・定規・レーザーカッターの換気扇）を打楽器に変える採音、曲の真ん中に何も主張しない『中庭』を残す構成力</t>
        </is>
      </c>
      <c r="D19" s="12" t="inlineStr">
        <is>
          <t>言葉の輪郭がはっきりした澄んだ高音（運転中でも歌詞が聞き取れる）、早朝に働く人の暮らしを時刻と物で具体的に書ける歌詞、日本とアメリカの 2 つの朝を行き来する視点、毎朝の投稿で積み上げた静かで濃いファン（夜勤明け・配送・パン職人など）</t>
        </is>
      </c>
      <c r="E19" s="12" t="inlineStr">
        <is>
          <t>男性の温かい中音に女性の 3 度上のハモりが重なるサビ、指弾きベースが曲の骨組みを決める軽い 16 ビート、建築と道路の具体語で書く日常の歌詞、3 人で実際に演奏できる編成の生っぽさ、サービスエリアの動画で積み上げた場所の信頼</t>
        </is>
      </c>
      <c r="F19" s="12" t="inlineStr">
        <is>
          <t>男女の中音が 3 度で溶け合うハモり（2 年間の声のメモで磨いた）、素材を言葉にする具体性（羊毛・塩・木・ロープ・雨）、ワイパーの速さに合う 84〜98 BPM の一定の揺れ、手仕事の配信や動画と相性がよく作業用 BGM として広がる、生活の出来事を大げさにしない語り口</t>
        </is>
      </c>
    </row>
    <row r="20">
      <c r="A20" s="26" t="inlineStr">
        <is>
          <t>デビューの経緯（まとめ）</t>
        </is>
      </c>
      <c r="B20" s="12" t="inlineStr">
        <is>
          <t>2021 年秋、勤務先のコミュニティ FM の深夜枠『Fay’s Road Hours』で、自作の曲と短い語り、幼い頃に亡くなった父が残した音声テープの断片を流し始めた。夜勤の看護師や深夜まで勉強中の受験生、長距離トラックの運転手からメッセージが届くようになり、2022 年には番組の 6 曲を手書きラベルのカセット 50 本にしてレコード店で売り切った。2023 年、午前 3 時 12 分のガーディナー高速を走る長回しの映像に曲を合わせた動画が 2 か月で約 8 万回再生され、フォロワーは 600 から 4,500 に増えた。2024 年からはジャンクション地区の小さなバーで月 1 回のコンサートを務め、定員 60 人がほぼ埋まるようになった。2025 年夏にはコークで 1 回だけ演奏し、故郷にも聴き手ができた。約 14,000 人のフォロワーとともに、2026 年秋に DistroKid で最初のシングルを出す。</t>
        </is>
      </c>
      <c r="C20" s="12" t="inlineStr">
        <is>
          <t>2020 年のロックダウン中、工房が閉まった夜に、自分の息とハミングを切って並べたスケッチを SoundCloud に番号順で上げ始めた。2021 年からは模型の中庭をくり抜く手元の動画に自作曲を付けて Instagram に投稿し、設計や模型の世界の人に知られるようになった。2022 年夏、友人の DJ がハックニー・ウィックのコミュニティラジオの深夜枠で曲をかけ、夜に働く人や移動する人から反応が届き始める。2024 年 3 月、父の入院中に夜行バスで作った曲を 42 分の切れ目のないミックスにして YouTube に公開し、長距離の運転手や夜勤明けの人に広がった。2025 年 6 月にはリーズで初めてのライブを家族の前で行った。2026 年春、そのミックスを聴いたレーベルから、所属アーティストとして、また他の 4 組のリミックス役として声がかかった。</t>
        </is>
      </c>
      <c r="D20" s="12" t="inlineStr">
        <is>
          <t>人前で初めて自作曲を歌ったのは、祖父を亡くして暮らした函館の小さなライブバーの月 1 回のオープンマイクだった。ポートランドに移った 2023 年の秋から、パンの配送バンのダッシュボードにスマートフォンを置き、日の出の 30 秒と歌の断片を毎朝投稿し始める。映るのはハンドルを握る手とフロントガラスだけで、キャプションには毎回その朝の日の出時刻だけを書いた。2025 年 2 月、配送先のカフェの店主を通じてデモが地元のコミュニティ FM の早朝番組に渡り、3 週続けてかかった。同じ年、配送先のカフェ 3 軒が開店準備の時間に彼女のデモを流すようになり、客が店員に名前を尋ねるようになった。24 歳の誕生日の春分の朝、コロンビア川沿いの展望駐車場から日の出の 6 分間だけ車内ライブを配信し、それを見たレーベルから連絡が来て最初のシングルの配信が決まった。</t>
        </is>
      </c>
      <c r="E20" s="12" t="inlineStr">
        <is>
          <t>2018 年 11 月、建築学部の学年末展示のオープニングで初めて演奏し、翌年は友人の倉庫の屋上で月 1 回の『昼だけのライブ』を続けた。ロックダウン中は 3 人が別々の部屋から、曲の構成を方眼紙の断面図にして画面に映す動画を 40 本投稿し、海外の建築学生や移民 2 世に見つかった。2022〜2023 年は仕事終わりの金曜に北部の小さなライブハウスで演奏し、手作りのカセット 300 本を売り切った。転機は 2023 年末のメルボルン〜シドニーのロードトリップで、サービスエリアごとにバンの横で 1 曲ずつ演奏した『Servo Sessions』の 1 本が 120 万回再生された。フォロワーは 3,500 から 46,000 に増え、その後コミュニティラジオの生演奏とサービスエリアのカフェの BGM で聴かれ続けた。『車で聴いて良くなければ出さない』という基準で録り直し、2026 年 10 月に初めて DistroKid で正式に配信する。</t>
        </is>
      </c>
      <c r="F20" s="12" t="inlineStr">
        <is>
          <t>2018 年秋、ペンリンのパブの木曜セッションで、隅で編み物をしていたアイラが頼まれて無伴奏で歌い、ゲシンがギターで静かに和音を足したのが始まり。アイラのビザが切れた 2019 年からの 2 年間は、12 時間の時差を挟んで声のメモを送り合い、30 曲以上を作った。その曲をアイラが編み物配信の BGM に流すと『この曲は誰？』と聞かれ、TIDEWOOL という仮の名前が生まれた。2022 年からはトゥルーロのファーマーズマーケットで毛糸の屋台の横で歌い、2023 年夏には雨の港祭りで魚市場の軒下に移った 40 分の演奏が地域で広まった。網小屋で一発録りした『雨の日のセッション』動画とコミュニティラジオで、フォロワーは 300 人から約 14,000 人に増えた。2026 年秋、DistroKid で最初の曲を配信する。</t>
        </is>
      </c>
    </row>
    <row r="21">
      <c r="A21" s="26" t="inlineStr">
        <is>
          <t>ファンのつき方</t>
        </is>
      </c>
      <c r="B21" s="12" t="inlineStr">
        <is>
          <t>最初の聴き手は夜に働く人たち（看護師・トラックやタクシーの運転手・清掃員・パン屋の早番）で、押しつけない低い声と、歌詞に出てくる具体的な時刻が『自分の時間の歌』に聞こえると言われた。次に、海外で暮らすアイルランド人や移民の 30〜40 代が、時差と二つの故郷の歌に反応した。80 年代の音を親の車で聴いて育った世代は、懐かしさよりも『今の夜の音』として受け取っている。顔を見せないぶん、聴き手は自分の帰り道の景色を重ねやすい。</t>
        </is>
      </c>
      <c r="C21" s="12" t="inlineStr">
        <is>
          <t>最初に集まったのは建築や模型を学ぶ学生と、夜に手を動かす人（製図・刺繍・プログラミング）。次に夜勤の看護師、長距離トラックやタクシーの運転手、空港から深夜に帰る人など『夜に働く・夜に移動する人』が付いた。歌詞が無いので考え事の邪魔をせず、それでいて息の音が『隣に誰かいる』感じを残すところが好かれている。ガーナ系の若い世代からは、短いギターの 2 音に祖父母の家の音を聞いたという声が届く。</t>
        </is>
      </c>
      <c r="D21" s="12" t="inlineStr">
        <is>
          <t>最初についたのは、同じ時間に起きている人たちだった。夜勤明けの看護師・長距離トラックの運転手・パン職人・新聞配達・空港の地上係員が「この時間に聴ける歌がやっとあった」とコメントを残した。次に、配送先のカフェで朝のコーヒーを買う通勤の人たちが、店の BGM から見つけた。日本側では、函館のライブバーの常連と母の同級生の口コミから、北海道の早朝勤務の人たちに少しずつ広がっている。派手な拡散は一度もなく、毎朝の投稿を何か月も見続けている人が多い。</t>
        </is>
      </c>
      <c r="E21" s="12" t="inlineStr">
        <is>
          <t>最初のファンは建築学部の学生と講師、次にメルボルン西部と北部の 20〜30 代。サービスエリアの動画のあとは、長距離トラックの運転手、キャンピングカーで旅する年配の夫婦、豪州に移り住んだ人とその子どもたちが増えた。コメントで多いのは『このサービスエリア知ってる』『うちの家族の帰省みたい』。派手な演出がなく、3 人が楽しそうに支え合いながら本物の場所で演奏していることが信頼された。</t>
        </is>
      </c>
      <c r="F21" s="12" t="inlineStr">
        <is>
          <t>最初の聴き手は、編み物配信を見ながら手を動かしていた編み手たち（北米・北欧・英国の 30〜60 代の女性が中心）。手を止めずに聴ける一定の揺れと、羊毛や糸の言葉が自分の手元と重なると言われた。次に、マーケットとパブで顔なじみになったコーンウォールの漁師やギグ漕ぎのクラブの人たち。最近は、雨の日に海沿いを通勤する人が『ワイパーの速さに合う』とプレイリストに入れ、ドライブの曲として聴かれ始めている。</t>
        </is>
      </c>
    </row>
    <row r="22">
      <c r="A22" s="26" t="inlineStr">
        <is>
          <t>音楽以外の表現</t>
        </is>
      </c>
      <c r="B22" s="12" t="inlineStr">
        <is>
          <t>35mm のフィルムカメラで夜の道路と街灯だけを撮る（人は写さない）。手帳に時刻と場所と見たものだけを書く『夜の日誌』を 2016 年から続けている。LED に替わって消えつつあるオレンジの街灯の場所を、地図に印をつけて記録している。</t>
        </is>
      </c>
      <c r="C22" s="12" t="inlineStr">
        <is>
          <t>本業の建築模型（1:50〜1:500 の集合住宅・美術館・設計競技の模型）。休日には、訪れた建物の平面図を記憶で描くスケッチブックをつけていて、中庭や吹き抜けだけは塗らずに残す。曲を 1 曲作るごとに、手のひら大の『部屋の模型』をバルサ材で作り、ジャケットの撮影に使う。</t>
        </is>
      </c>
      <c r="D22" s="12" t="inlineStr">
        <is>
          <t>10 歳から毎朝つけている「日の出ノート」（日の出の時刻・天気・1 行だけの出来事。いま 27 冊目）。祖母に習った刺し子で作業着の肘や手袋を繕うこと。配送ルートの道路標識の書体を写真に撮って集めている。どれも人に見せるためではないが、ジャケット写真の手元に写ることがある。</t>
        </is>
      </c>
      <c r="E22" s="12" t="inlineStr">
        <is>
          <t>ライブの日は毎回、その日の曲順を建築図面ふうの断面図にして 50 部だけ刷って配る。ロードトリップのたびに立ち寄ったサービスエリアを手描きで実測した平面図を投稿し、ジャケットや動画の字幕にも寸法線を使う。機材ケースと物販の棚はタヴが余った木材で作る。</t>
        </is>
      </c>
      <c r="F22" s="12" t="inlineStr">
        <is>
          <t>アイラは漁師のセーター（ガンジー）の受注製作と、ハリエニシダの花や玉ねぎの皮で染めた毛糸。ゲシンは木のボートの修理と、端材で作る編み針や木のスプーン。毎年 12 月には、潮の時刻表と編み目の図案を並べた手刷りの暦を 2 人で作ってマーケットで売る。</t>
        </is>
      </c>
    </row>
    <row r="23" ht="20" customHeight="1">
      <c r="A23" s="28" t="inlineStr">
        <is>
          <t>■ 人と関係</t>
        </is>
      </c>
      <c r="B23" s="29" t="n"/>
      <c r="C23" s="29" t="n"/>
      <c r="D23" s="29" t="n"/>
      <c r="E23" s="29" t="n"/>
      <c r="F23" s="29" t="n"/>
    </row>
    <row r="24">
      <c r="A24" s="26" t="inlineStr">
        <is>
          <t>人間関係・力関係</t>
        </is>
      </c>
      <c r="B24" s="12" t="inlineStr">
        <is>
          <t>決めるのは本人だが、一人きりでは作らない。最初の聴き手は金曜の午前 4 時、パン屋へ向かう車内のイネスで、彼女が窓の外を見たまま黙っていれば合格、話し始めたらサビが弱いという合図。局の朝番組のプロデューサー、デニースが英語の言い回しと曲順の相談相手で、遠慮なく『長い』と言ってくれる。大学の同級生コナーは自分の車のスピーカーで低音を確かめる係。レーベルのチームとは月 1 回の打ち合わせとメッセージでつながり、ジャケットに入れる時刻と場所の表記だけは本人が譲らない。</t>
        </is>
      </c>
      <c r="C24" s="12" t="inlineStr">
        <is>
          <t>ソロのプロデューサーで、曲づくりは完全にひとり。相談相手は 3 人いる。ラジオ DJ のファンミには毎月の放送前に新曲を聴かせ、『踊れるか・眠れるか』の 2 択で感想をもらう。工房の先輩アラスデアには音ではなく『急いでいないか』を見てもらう。弟のコフィは最初の聴き手で、病院の夜勤明けの車で聴いて一言だけ返してくる。レーベルとは毎週日曜の夜にステムと短いメモを送る距離を好み、昼の打ち合わせは月 1 回に絞ってもらっている。他の 4 組とは、直接会うより素材を通して知り合う関係。</t>
        </is>
      </c>
      <c r="D24" s="12" t="inlineStr">
        <is>
          <t>制作の相談相手は 2 人だけ。函館のライブバーで知り合った船具店勤務のギタリスト 浩平（36）とは月に 1 回ビデオ通話でミックスを聴き合い、函館の夜 10 時・ポートランドの朝 6 時という時差の中で話す。ポートランドでは配送ルートの最後のカフェの店主（50 代・元レコード店員）が最初の聴き手で、感想は「明日の朝もかけたいか」だけ。家族には完成した曲しか聴かせず、父は感想の代わりに翌朝の日の出時刻を返してくる。レーベルとは週 1 回、配送が終わった朝 9 時にだけ打ち合わせをする約束で、夜の打ち合わせは断る。イントロとサビの音色以外の判断は、チームに預けることが多い。</t>
        </is>
      </c>
      <c r="E24" s="12" t="inlineStr">
        <is>
          <t>決める力が一番強いのはビア。曲の構成・小節数・キーは彼女が方眼紙に描く『断面図』で決まり、キノも『図面が来るまで歌詞は仮』と認めている。キノは言葉とメロディ、タヴはテンポと『車で聴いて良いか』の最終判定を持つ。決め方は『片持ちルール』で、誰かが張り出した案は、もう 1 人が支えれば次のリハで必ず 1 回試し、2 人が反対したら引っ込める。揉めるのはたいていビアが言葉数を削ろうとするときで、キノは黙り込み、ビアは早口でポルトガル語が混ざる。仲直りは、タヴが 2 人をバンに乗せて Wallan のサービスエリアまで 40 分走り、ミートパイを食べ終わるまで曲の話を禁止すること。帰りの車では、たいていキノが削られた行の代わりを鼻歌で出している。</t>
        </is>
      </c>
      <c r="F24" s="12" t="inlineStr">
        <is>
          <t>2022 年に結婚した夫婦。恋人になる前に半年間ただのセッション仲間だった時間が、今も 2 人の距離の基礎になっている。言葉はアイラ、和音と曲の骨組みはゲシンと分け、相手の領分には 1 曲につき 1 か所しか口を出さないという決まりがある。揉めるのはたいていテンポで、ゲシンは遅くしたがり、アイラは『それじゃ車が止まる』と言う。揉めたら結論を出さずに 2 人で岬の歩道を 1 周歩き、戻ってから台所で同じ箇所をユニゾンで歌ってみて決める。お金と予定はアイラ、機材と車の手入れはゲシン。人前で話すのはアイラで、ゲシンは横で頷き、最後に一言だけ冗談を言う。</t>
        </is>
      </c>
    </row>
    <row r="25">
      <c r="A25" s="26" t="inlineStr">
        <is>
          <t>作詞の担当</t>
        </is>
      </c>
      <c r="B25" s="12" t="inlineStr">
        <is>
          <t>本人。勤務中の休憩に、時刻と場所と見たものだけを書く『夜の日誌』から 1 行を選び、サビの核にする。残りは帰りの車で声に出しながら直し、言いにくい言葉を削る。毎曲、時刻を 1 つ入れる。</t>
        </is>
      </c>
      <c r="C25" s="12" t="inlineStr">
        <is>
          <t>歌詞は無い。曲名と、声の切れ端に使う 1〜4 語の英語は Abena が決める。工房のスケッチブックに描いた平面図の余白にメモした言葉から選び、意味よりも息の長さ（1 拍か 2 拍か）で決める。文章にはしない。</t>
        </is>
      </c>
      <c r="D25" s="12" t="inlineStr">
        <is>
          <t>本人。配送ルートの信号待ちで浮かんだ言葉をスマートフォンの音声メモに吹き込み、午後に日の出ノートの同じ日付と照らし合わせて書く。サビの英語 4 行を先に固め、日本語は 1 曲に 1 語まで（おやすみ・したっけなど）。時刻か道路の番号か物の名前を必ず 1 つ入れ、気持ちを説明する形容詞はできるだけ削る。</t>
        </is>
      </c>
      <c r="E25" s="12" t="inlineStr">
        <is>
          <t>作詞はキノ。ガソリンスタンドのレシートの裏とスマホのメモに 1 行ずつ書きため、ビアの断面図で小節数が決まってから削る。ビアがハモりで返す 1 行（返事の言葉）だけは彼女が書く。タヴは歌詞を書かないが、寸法や工具やトラックの呼び方が間違っていると直す係。</t>
        </is>
      </c>
      <c r="F25" s="12" t="inlineStr">
        <is>
          <t>主にアイラ。編みながら浮かんだ言葉を毛糸のラベルの裏や市場のレシートに書き留め、1 曲につき 1 つの『物』（ボタン・ロープの端・濡れた手袋）から書き始める。ゲシンは各曲 2〜3 行だけ、自分が歌うパートの言葉を書き換える。</t>
        </is>
      </c>
    </row>
    <row r="26">
      <c r="A26" s="26" t="inlineStr">
        <is>
          <t>作曲の担当</t>
        </is>
      </c>
      <c r="B26" s="12" t="inlineStr">
        <is>
          <t>本人。局の古い制作室と自宅の窓際の机で、4 つの和音のパッドを先に決め、ベースとアルペジオを重ねる。メロディは運転中の鼻歌をスマートフォンに録って拾う。父が残したテープのヒスや車内の音を薄く混ぜて仕上げる。</t>
        </is>
      </c>
      <c r="C26" s="12" t="inlineStr">
        <is>
          <t>作曲・編曲・ミックスはすべて Abena。工房から帰った 22 時から 2 時までと、夜行バスの車内で作る。まずエレピで 4 小節のコードを決め、自分の息とハミングを録って 1 拍ずつ切り、ピッチを変えて旋律の代わりに並べる。最後に工房で録った実音を 1 つだけ置く。平面図と同じく、先に真ん中の『空ける場所』を決めてから周りを作る。</t>
        </is>
      </c>
      <c r="D26" s="12" t="inlineStr">
        <is>
          <t>本人。13 歳の誕生日に父が質屋で買ってきた 37 鍵の中古シンセで 8 分のアルペジオを先に作り、その上で歌いながらメロディを決める。テンポは実際に 84 号線を東へ走りながらデモを流し、窓の外の流れと合うかで決める（だいたい 110〜116）。アレンジの仕上げはレーベルの制作チームと分担するが、イントロとサビの音色だけは譲らない。</t>
        </is>
      </c>
      <c r="E26" s="12" t="inlineStr">
        <is>
          <t>作曲は 3 人の共同クレジット。メロディはキノの鼻歌のボイスメモから、コード進行と構成とベースラインはビアが方眼紙の断面図（横軸が小節・縦軸が音域）で設計し、テンポとグルーヴはタヴがリハで叩きながら決める。断面図に無い小節は足さない、が暗黙の決まり。</t>
        </is>
      </c>
      <c r="F26" s="12" t="inlineStr">
        <is>
          <t>主にゲシン。作業場で鉋をかけるリズムや、ギグを漕ぐ掛け声のテンポからギターの指弾きの型を作り、スマートフォンの声のメモに残す。メロディは台所のテーブルに向かい合って歌いながら 2 人で決め、ハモりの上の音はアイラが選ぶ。</t>
        </is>
      </c>
    </row>
    <row r="27">
      <c r="A27" s="26" t="inlineStr">
        <is>
          <t>普段の話題</t>
        </is>
      </c>
      <c r="B27" s="12" t="inlineStr">
        <is>
          <t>仕事の話より、天気と道路と食べ物の話が多い。イネスとは店の新作と、今夜どの道で帰るか。コークの家族とは、まず時差の計算から会話が始まる。例：イネス『また遠回りしてる』／デクラン『レイクショアは信号が少ないんだ』／イネス『数えたことあるの？』／デクラン『7 つ。ガーディナーなら 0』——結局いつも 4 時 10 分に店に着く。</t>
        </is>
      </c>
      <c r="C27" s="12" t="inlineStr">
        <is>
          <t>ファンミとは深夜の放送前、コンテナの小さな局で、どの曲が何時に合うかの話ばかりしている。弟とは、母には言わない形で家族のことを相談し合う。工房ではアラスデアと刃の替えどきと紅茶の濃さの話。例：ファンミ『これ、2 時 40 分の曲だね』 Abena『いや、3 時。2 時 40 分はまだ人が起きてる』 ファンミ『じゃあ 3 時の人は何してるの』 Abena『M1 のサービスエリアで紅茶を冷ましてる』。</t>
        </is>
      </c>
      <c r="D27" s="12" t="inlineStr">
        <is>
          <t>家族とは時刻と天気と道路の話が中心で、気持ちの話はほとんどしない。函館の祖母との電話はいつも彼女の朝 6 時（函館の夜 10 時）で、祖母が寝る前・彼女が走り出す前の 5 分間だけ。例：祖母「そっちはこれから仕事かい。こっちはもう寝るよ」／ナオ「うん、いま積み込み終わった。今日は 7 時 12 分に日が出るって」／祖母「したっけ、気をつけてね。おやすみ」／ナオ「おやすみ。……おはよう」。父とは無線のような短いやりとりで、「Roads clear to Parkdale.」「Copy that.」で終わる日もある。</t>
        </is>
      </c>
      <c r="E27" s="12" t="inlineStr">
        <is>
          <t>話題の半分は建築と道路（新しい高架の継ぎ目の音・どこのサービスエリアのパイが一番か・誰の事務所の模型が雑か）、残りは家族と仕事の小さな愚痴。例：キノ「Euroa のパイ、今年から皮が変わったよな」ビア「それより 2 番が 4 小節長い」タヴ「パイの話のほうが大事だろ」ビア「……どっちも直す」。</t>
        </is>
      </c>
      <c r="F27" s="12" t="inlineStr">
        <is>
          <t>話題は天気と潮の時間、注文のガンジーの進み具合、ウェールズとオタゴの実家の様子、夕飯。例：ゲシン「明日の満潮は 7 時 40 分だって。ギグは早出だ」アイラ「じゃあ袖の続きは夜ね。肘、また薄くなってるよ」ゲシン「Now in a minute」アイラ「その in a minute で 3 年経ってるの、その肘」。</t>
        </is>
      </c>
    </row>
    <row r="28" ht="20" customHeight="1">
      <c r="A28" s="28" t="inlineStr">
        <is>
          <t>■ 考え方といま</t>
        </is>
      </c>
      <c r="B28" s="29" t="n"/>
      <c r="C28" s="29" t="n"/>
      <c r="D28" s="29" t="n"/>
      <c r="E28" s="29" t="n"/>
      <c r="F28" s="29" t="n"/>
    </row>
    <row r="29">
      <c r="A29" s="26" t="inlineStr">
        <is>
          <t>人生観・価値観（組として）</t>
        </is>
      </c>
      <c r="B29" s="12" t="inlineStr">
        <is>
          <t>時間は戻らないが、録っておくことはできる。大きく残すより、小さく確かに残す。夜に働く人の時間も、昼と同じ重さを持つ。故郷を出たことを後悔もしないし、美化もしない。</t>
        </is>
      </c>
      <c r="C29" s="12" t="inlineStr">
        <is>
          <t>空いているところは欠けているのではなく、使うために空けてある。親の期待は否定せず、自分の手の仕事で応える。急いで切った線は自分に返ってくる。夜は何かを生む時間というより、自分を整える時間。</t>
        </is>
      </c>
      <c r="D29" s="12" t="inlineStr">
        <is>
          <t>早起きは自慢ではなく、誰かが夜のうちに道を開けておいてくれた朝への礼儀だと思っている。どちらかの国を選ぶより、両方の朝を持っていたい。人生は大きな出来事より、毎朝同じ時間に起きて同じ道を走ることの積み重ねでできている。家族と離れて暮らしていても、時差を数えることで近くにいられると考えている。</t>
        </is>
      </c>
      <c r="E29" s="12" t="inlineStr">
        <is>
          <t>大きく見せるより、ちゃんと持ちこたえること。3 人とも自分 1 人では立たない構造だと分かっていて、誰かが張り出したら残りが支える。仕事・家族・バンドの重さを比べず、暮らしを削ってまで音楽をしない。</t>
        </is>
      </c>
      <c r="F29" s="12" t="inlineStr">
        <is>
          <t>早く仕上げることより、長く使えるように作ること。破れたら繕い、割れたら継ぐ。天気と潮には逆らわず、その日にできることをする。遠くにいる家族を、忙しさを理由に後回しにしない。</t>
        </is>
      </c>
    </row>
    <row r="30">
      <c r="A30" s="26" t="inlineStr">
        <is>
          <t>今後どうしていきたいか</t>
        </is>
      </c>
      <c r="B30" s="12" t="inlineStr">
        <is>
          <t>2026 年秋に最初のシングル、2027 年に 8 曲のアルバムをデジタルと 200 本のカセットで出す。2027 年夏にコークで小さな公演を 1 回開き、トロントのバーの枠も続ける。局の夜勤は週 3 日に減らしても手放さず、深夜番組は自分の帰る場所として残す。</t>
        </is>
      </c>
      <c r="C30" s="12" t="inlineStr">
        <is>
          <t>2027 年に弟とクマシへ行き、改修前の記録をもとに祖母の家を 1:50 の模型にする。夜行バス 1 本ぶん（約 4 時間半）を途切れずにつなぐ長い作品を出したい。他の 4 組の曲を夜の長距離のための 1 本の道に編み直す、レーベルのつなぎ役を続ける。模型の仕事は辞めない。</t>
        </is>
      </c>
      <c r="D30" s="12" t="inlineStr">
        <is>
          <t>2027 年春、除雪の仕事を引退した父と函館から東へ北海道を車で横断し、本土でいちばん東の納沙布岬で日の出を見たい。その道中で書いた曲を 1 枚目のアルバム（10 曲・全部朝の曲）にまとめる。配信の時刻は日本とアメリカそれぞれの朝 6 時に合わせ続ける。いつかは札幌と函館の小さな会場で、朝の時間帯にライブをしたい。</t>
        </is>
      </c>
      <c r="E30" s="12" t="inlineStr">
        <is>
          <t>2027 年に東海岸を 1 か月かけて回るツアー（メルボルンからブリスベンまで、ハイウェイと海沿いの道で）。キノの父の最後のシドニー便の日に合わせて同じ道を走り、曲を 1 本録る。いつか 3 人で、ハイウェイ脇の屋根だけの小さな休憩所を設計して建てたい。</t>
        </is>
      </c>
      <c r="F30" s="12" t="inlineStr">
        <is>
          <t>2027 年の毛刈りの季節にアイラの故郷オタゴへ 2 人で帰り、実家の毛刈り小屋で録音する。いずれ 2 人で小さな手漕ぎ船を作り、その船で回れる海岸の町で小さな演奏会を続けたい。大きな会場より、雨宿りの人が立ち止まれる場所で歌うことを選び続ける。</t>
        </is>
      </c>
    </row>
    <row r="31">
      <c r="A31" s="26" t="inlineStr">
        <is>
          <t>今の章（いまの暮らしと気持ち）</t>
        </is>
      </c>
      <c r="B31" s="12" t="inlineStr">
        <is>
          <t>トロントに来て 10 年目の秋。週 4 日、19 時から 3 時まで局の送出卓に座り、帰りにガーディナーを走ってから、金曜と土曜は 4 時過ぎにイネスをパン屋まで送る。昼に眠り午後に起きる暮らしには慣れたが、時差のせいでコークの家族と話せる時間は短く、母が朝 7 時に撮って送ってくる空の写真を深夜 2 時の休憩に見るのが日課になっている。父が残した 43 本のテープはすべてデジタルにし終え、そこから拾った音を曲に混ぜている。最初のシングルを出すと決め、毎晩の休憩に歌詞を 1 行ずつ直している。</t>
        </is>
      </c>
      <c r="C31" s="12" t="inlineStr">
        <is>
          <t>29 歳。平日はハックニー・ウィックの工房で集合住宅の 1:200 の模型を作り、22 時に屋根裏の部屋へ戻って 2 時まで曲を作る。父の体調は落ち着き、母は 9 月に看護師を退職した。8 月、クマシの祖母の家の中庭に屋根がかかると聞き、残せるものは残したいと思っている。母が教会の友人に自分の曲を『眠れる音楽』として配っていると知り、親の期待と自分の選択が少しずつ近づいていると感じている。初めてレーベルの中で他の組と並ぶことに、静かに緊張している。</t>
        </is>
      </c>
      <c r="D31" s="12" t="inlineStr">
        <is>
          <t>平日は午前 3 時に起き、3 時半から工業地区の卸のベーカリーで焼きたてのパンを配送バンに積み、市内 20 軒のカフェに届ける。ルートの最後は 84 号線の東行きで、冬はちょうどそこで日が昇る。昼に少し眠り、午後 1 時から 4 時が作曲の時間で、夜は 8 時半に寝る。父がこの冬を最後に除雪の仕事を引退すると聞き、最初のシングルをその季節の始まりに出したいと思っている。函館の祖母は 80 歳になり、電話の向こうの声が少しゆっくりになったのが気がかりだ。それでも配送の仕事はやめず、歌はこの生活の中から作り続けると決めている。</t>
        </is>
      </c>
      <c r="E31" s="12" t="inlineStr">
        <is>
          <t>2026 年秋、初めての正式な配信に向けて Brunswick East の元板金工場で録音を終えたところ。ビアは平日 4 日を設計事務所で社会住宅の図面に使い、タヴは朝 7 時から湾岸の住宅地でデッキや増築を組み、キノはフリーランスの 3D パース制作と木曜の子どもギター教室で暮らしている。リハは火曜の夜と土曜の昼だけ。キノの父が来年トラックを降りると決め、キノは父の最後の便と並んで走る曲を書きかけている。3 人とも 30 歳が近く、バンドを仕事にするか暮らしの一部のままにするかは、まだ決めないことにしている。</t>
        </is>
      </c>
      <c r="F31" s="12" t="inlineStr">
        <is>
          <t>ボートヤードの縮小でゲシンの勤務が週 3 日になり、空いた 2 日を録音にあてている。アイラは注文のガンジーを 4 着抱え、毎晩 2 時間の編み物と週 1 回の配信を続けている。2026 年秋に初めて配信サービスに曲を出すことになり、うれしさと同時に、好きで続けてきたことが仕事になる小さな怖さがある。アイラは 5 年オタゴに帰っておらず、電話の母の声が少し細くなったのが気になっている。ゲシンの父はソルヴァの作業場の半分を若い船大工に貸すと決め、ゲシンは自分が継がないことにようやく折り合いをつけ始めた。雨の多い秋で、網小屋の雨漏りの下にバケツを置いたまま録音している。</t>
        </is>
      </c>
    </row>
    <row r="32">
      <c r="A32" s="26" t="inlineStr">
        <is>
          <t>歌によく出る風景・言葉</t>
        </is>
      </c>
      <c r="B32" s="12" t="inlineStr">
        <is>
          <t>ナトリウム灯のオレンジ、ガーディナー高速の継ぎ目の音、湖から来る冷たい風、カセットのヒスノイズ、送出室の赤いオンエアランプ、午前 3 時 12 分、リー川の朝霧、パン屋の一番窯の匂い</t>
        </is>
      </c>
      <c r="C32" s="12" t="inlineStr">
        <is>
          <t>夜行バスの最前列、3 時のサービスエリアの蛍光灯、M1 を北へ、中庭に降り込む雨、天窓の四角い光、カッターの替え刃、リー川の湿地の朝霧、グレーボードの灰色</t>
        </is>
      </c>
      <c r="D32" s="12" t="inlineStr">
        <is>
          <t>峡谷から吹き出す冬の東風、除雪車のアンバーの回転灯、函館の港に戻るイカ釣り船の灯り、配送バンの結露したフロントガラス、霜の降りた梨の果樹園、84 号線のマイル標識</t>
        </is>
      </c>
      <c r="E32" s="12" t="inlineStr">
        <is>
          <t>サービスエリアのキャノピーの短い影、ユーカリの灰緑、高架の継ぎ目のゴトンという音、トラックの停車場、ミートパイの紙袋、道路標識の緑、トレーシングペーパー、張り出した屋根</t>
        </is>
      </c>
      <c r="F32" s="12" t="inlineStr">
        <is>
          <t>濡れた県道の黒、ワイパーの往復、羊毛の脂の匂い、ロープの結び目、鉋屑、干潟に傾いた船、塩で白く曇った窓、ハリエニシダの黄、凍った牧場の門</t>
        </is>
      </c>
    </row>
    <row r="33" ht="20" customHeight="1">
      <c r="A33" s="28" t="inlineStr">
        <is>
          <t>■ 公開用</t>
        </is>
      </c>
      <c r="B33" s="29" t="n"/>
      <c r="C33" s="29" t="n"/>
      <c r="D33" s="29" t="n"/>
      <c r="E33" s="29" t="n"/>
      <c r="F33" s="29" t="n"/>
    </row>
    <row r="34">
      <c r="A34" s="26" t="inlineStr">
        <is>
          <t>英語の紹介文</t>
        </is>
      </c>
      <c r="B34" s="12" t="inlineStr">
        <is>
          <t>DECLAN FAY is Declan Twomey, a Cork-born baritone who has spent ten years working nights in Toronto — first driving a newspaper delivery van at 2 a.m., now running the overnight desk at a small community radio station. His father drove a taxi through Cork's late hours and taped the radio as he went; he died when Declan was nine, and nineteen years later those 43 cassettes crossed the Atlantic in a shoebox. Their hiss is still in every mix. The name came to him twice: once from his father's voice on an old home video, and again from the night-shift listeners who started calling him their Fay. His songs are slow, warm synthwave for the stretch between last call and first light: analog pads, a gated snare, a voice that sounds like it's riding in the passenger seat, and always a time on the clock. Put it on when you're driving home and everyone else is asleep.</t>
        </is>
      </c>
      <c r="C34" s="12" t="inlineStr">
        <is>
          <t>HOLLOWPLAN is Abena Ofori, a Ghanaian-British architectural model maker who writes house music after her shifts in a Hackney Wick workshop. Born in Peckham and raised in Leeds, she found her sound on the overnight coach between London and her parents' house, recording the hum of 3 a.m. motorway services and her own breath instead of words. Her tracks are built like the plans she cuts by hand: a steady pulse around an empty centre, the courtyard of her late grandmother's house in Kumasi. It is music for the long, quiet stretch of a night drive, when there is nothing to do but keep going.</t>
        </is>
      </c>
      <c r="D34" s="12" t="inlineStr">
        <is>
          <t>VERNALIGHT is the solo project of Nao, who grew up between the pear orchards of Hood River, Oregon, and her grandmother's harbor town of Hakodate, Japan. She was born at dawn on the spring equinox, one of the two mornings a year the sun rises due east, and the name is for that light. The first sunrise she remembers was seen from the passenger seat of her father's snowplow pickup, a thermos of cocoa between her knees, and she has been waking before dawn ever since. Now she drives a bakery delivery van through Portland at 3:30 a.m. and writes bright, clear-voiced synth-pop about the hour when only the early shift is awake. Her songs end where her route does: eastbound on the interstate, right as the sun comes up.</t>
        </is>
      </c>
      <c r="E34" s="12" t="inlineStr">
        <is>
          <t>SOFT CANTILEVER are three architecture-school classmates from Melbourne: Kino Dela Paz, a Filipino-Australian singer-guitarist from the western suburbs; Bia Takeda, a Japanese-Brazilian bassist who grew up between Londrina, Hamamatsu and São Paulo; and Tav Reid, a Samoan-Scottish Kiwi drummer who traded the drafting table for a carpenter's belt. They make sunlit city pop and indie funk for daytime highways, with a warm mid-range lead, a harmony that always lands a third above, and basslines drawn up like floor plans. Their first real audience came from phone videos shot beside a white van at service stations up the Hume, one song per stop, watched by truckies, caravanning grandparents and anyone who has ever eaten a pie in a car park. Put them on when the road opens up and the next servo is forty minutes away.</t>
        </is>
      </c>
      <c r="F34" s="12" t="inlineStr">
        <is>
          <t>TIDEWOOL is Isla Rennie, a knitter raised on a sheep station in Central Otago, New Zealand, and Gethin Mathias, a boatbuilder's son from a tidal harbour in Pembrokeshire, Wales. They met at a Thursday pub session in Penryn, Cornwall, spent two pandemic years trading voice memos twelve hours apart, and now make warm, close-harmony folk pop in a rain-soaked net loft above a boatyard. Their songs are built from what their hands touch every day: wet rope, raw fleece, salt on the windscreen, a sweater elbow mended one more time. Put them on when the road is wet and the wipers are on slow.</t>
        </is>
      </c>
    </row>
    <row r="35" ht="20" customHeight="1">
      <c r="A35" s="28" t="inlineStr">
        <is>
          <t>■ メモ</t>
        </is>
      </c>
      <c r="B35" s="29" t="n"/>
      <c r="C35" s="29" t="n"/>
      <c r="D35" s="29" t="n"/>
      <c r="E35" s="29" t="n"/>
      <c r="F35" s="29" t="n"/>
    </row>
    <row r="36">
      <c r="A36" s="26" t="inlineStr">
        <is>
          <t>メモ</t>
        </is>
      </c>
      <c r="B36" s="12" t="inlineStr">
        <is>
          <t>テーマの中心は『時間の手触り』（夜勤の時刻・5 時間の時差・カセット）。80 年代の再現ではなく、今の夜を 80 年代の質感で歌う。顔出しなし。本名は設定の中だけで使い、配信名は DECLAN FAY。</t>
        </is>
      </c>
      <c r="C36" s="12" t="inlineStr">
        <is>
          <t>顔は出さない（後ろ姿・手元・逆光）。本名は出してよい。声の切れ端は本人の息とハミングが中心だが、声質は曲ごとに変える（固定しない）。5 週に 1 回、前の 4 週に出た他の組の曲を 1 曲リミックスする。模型職人の仕事は続ける前提。</t>
        </is>
      </c>
      <c r="D36" s="12" t="inlineStr">
        <is>
          <t>本名は Nao Kudo Harlan（日本の戸籍名は工藤奈央）。日米の二重国籍で、日本の国籍をどうするかの届けは書いたまま引き出しにしまってある。顔は出さないが、手元・後ろ姿・車内は毎回同じ人として撮る。投稿と配信は日本時間とアメリカ時間それぞれの朝 6 時に合わせる。旧名 NAO EASTERLY（2026-10-13 に改名。イギリスの歌手「NAO」と検索で並ぶのを避けるため。VERNALIGHT は Web 検索で同じ名前なし）。</t>
        </is>
      </c>
      <c r="E36" s="12" t="inlineStr">
        <is>
          <t>3 人とも建築出身で、出身はフィリピン系オーストラリア・日系ブラジル・サモア系ニュージーランドとばらばら。声はキノ（男性・中音）を固定し、ビアのハモりを毎曲サビに置く。</t>
        </is>
      </c>
      <c r="F36" s="12" t="inlineStr">
        <is>
          <t>名前（TIDEWOOL）の重複確認（配信サービス・商標・SNS）は未実施。写真は手元・後ろ姿・逆光が中心。</t>
        </is>
      </c>
    </row>
  </sheetData>
  <conditionalFormatting sqref="B2:Z2">
    <cfRule type="cellIs" priority="1" operator="equal" dxfId="0">
      <formula>"提案"</formula>
    </cfRule>
    <cfRule type="cellIs" priority="2" operator="equal" dxfId="1">
      <formula>"採用"</formula>
    </cfRule>
    <cfRule type="cellIs" priority="3" operator="equal" dxfId="2">
      <formula>"保留"</formula>
    </cfRule>
    <cfRule type="cellIs" priority="4" operator="equal" dxfId="3">
      <formula>"却下"</formula>
    </cfRule>
    <cfRule type="cellIs" priority="5" operator="equal" dxfId="4">
      <formula>"反映済み"</formula>
    </cfRule>
  </conditionalFormatting>
  <dataValidations count="3">
    <dataValidation sqref="B7:Z7" showDropDown="0" showInputMessage="0" showErrorMessage="0" allowBlank="1" errorTitle="選べる値" error="一覧から選んでください（空欄も可）" type="list">
      <formula1>"ソロ,デュオ,バンド,ボーカルグループ,プロデューサー"</formula1>
    </dataValidation>
    <dataValidation sqref="B8:Z8" showDropDown="0" showInputMessage="0" showErrorMessage="0" allowBlank="1" errorTitle="選べる値" error="一覧から選んでください（空欄も可）" type="list">
      <formula1>"Postdog Records,sleep,morning,focus,move"</formula1>
    </dataValidation>
    <dataValidation sqref="B2:Z2" showDropDown="0" showInputMessage="0" showErrorMessage="0" allowBlank="1" errorTitle="選べる値" error="一覧から選んでください（空欄も可）" type="list">
      <formula1>"提案,採用,保留,却下,反映済み"</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B89B72"/>
    <outlinePr summaryBelow="1" summaryRight="1"/>
    <pageSetUpPr/>
  </sheetPr>
  <dimension ref="A1:I5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s>
  <sheetData>
    <row r="1" ht="28" customHeight="1">
      <c r="A1" s="19" t="inlineStr">
        <is>
          <t>名前</t>
        </is>
      </c>
      <c r="B1" s="20" t="inlineStr">
        <is>
          <t>Declan Twomey（デクラン・トゥーミー）／芸名 DECLAN FAY</t>
        </is>
      </c>
      <c r="C1" s="21" t="inlineStr">
        <is>
          <t>Abena Ofori（アベナ・オフォリ）</t>
        </is>
      </c>
      <c r="D1" s="22" t="inlineStr">
        <is>
          <t>Nao（ナオ）／本名 Nao Kudo Harlan（工藤奈央）</t>
        </is>
      </c>
      <c r="E1" s="23" t="inlineStr">
        <is>
          <t>Joaquin "Kino" Dela Paz（ホアキン・“キノ”・デラ・パス）</t>
        </is>
      </c>
      <c r="F1" s="23" t="inlineStr">
        <is>
          <t>Beatriz "Bia" Yumi Takeda（ベアトリス・“ビア”・ユミ・タケダ）</t>
        </is>
      </c>
      <c r="G1" s="23" t="inlineStr">
        <is>
          <t>Tavita "Tav" Reid（タヴィタ・“タヴ”・リード）</t>
        </is>
      </c>
      <c r="H1" s="24" t="inlineStr">
        <is>
          <t>Isla Rennie（アイラ・レニー）</t>
        </is>
      </c>
      <c r="I1" s="24" t="inlineStr">
        <is>
          <t>Gethin Mathias（ゲシン・マサイアス）</t>
        </is>
      </c>
    </row>
    <row r="2">
      <c r="A2" s="25" t="inlineStr">
        <is>
          <t>状態</t>
        </is>
      </c>
      <c r="B2" s="13" t="inlineStr">
        <is>
          <t>採用</t>
        </is>
      </c>
      <c r="C2" s="13" t="inlineStr">
        <is>
          <t>採用</t>
        </is>
      </c>
      <c r="D2" s="13" t="inlineStr">
        <is>
          <t>採用</t>
        </is>
      </c>
      <c r="E2" s="13" t="inlineStr">
        <is>
          <t>採用</t>
        </is>
      </c>
      <c r="F2" s="13" t="inlineStr">
        <is>
          <t>採用</t>
        </is>
      </c>
      <c r="G2" s="13" t="inlineStr">
        <is>
          <t>採用</t>
        </is>
      </c>
      <c r="H2" s="13" t="inlineStr">
        <is>
          <t>採用</t>
        </is>
      </c>
      <c r="I2" s="13" t="inlineStr">
        <is>
          <t>採用</t>
        </is>
      </c>
    </row>
    <row r="3">
      <c r="A3" s="26" t="inlineStr">
        <is>
          <t>アーティストID</t>
        </is>
      </c>
      <c r="B3" s="30" t="inlineStr">
        <is>
          <t>declan_fay</t>
        </is>
      </c>
      <c r="C3" s="31" t="inlineStr">
        <is>
          <t>hollowplan</t>
        </is>
      </c>
      <c r="D3" s="32" t="inlineStr">
        <is>
          <t>nao_easterly</t>
        </is>
      </c>
      <c r="E3" s="33" t="inlineStr">
        <is>
          <t>soft_cantilever</t>
        </is>
      </c>
      <c r="F3" s="33" t="inlineStr">
        <is>
          <t>soft_cantilever</t>
        </is>
      </c>
      <c r="G3" s="33" t="inlineStr">
        <is>
          <t>soft_cantilever</t>
        </is>
      </c>
      <c r="H3" s="34" t="inlineStr">
        <is>
          <t>tidewool</t>
        </is>
      </c>
      <c r="I3" s="34" t="inlineStr">
        <is>
          <t>tidewool</t>
        </is>
      </c>
    </row>
    <row r="4">
      <c r="A4" s="26" t="inlineStr">
        <is>
          <t>メンバーID</t>
        </is>
      </c>
      <c r="B4" s="27" t="inlineStr">
        <is>
          <t>declan</t>
        </is>
      </c>
      <c r="C4" s="27" t="inlineStr">
        <is>
          <t>abena</t>
        </is>
      </c>
      <c r="D4" s="27" t="inlineStr">
        <is>
          <t>nao</t>
        </is>
      </c>
      <c r="E4" s="27" t="inlineStr">
        <is>
          <t>kino</t>
        </is>
      </c>
      <c r="F4" s="27" t="inlineStr">
        <is>
          <t>bia</t>
        </is>
      </c>
      <c r="G4" s="27" t="inlineStr">
        <is>
          <t>tav</t>
        </is>
      </c>
      <c r="H4" s="27" t="inlineStr">
        <is>
          <t>isla</t>
        </is>
      </c>
      <c r="I4" s="27" t="inlineStr">
        <is>
          <t>gethin</t>
        </is>
      </c>
    </row>
    <row r="5" ht="20" customHeight="1">
      <c r="A5" s="28" t="inlineStr">
        <is>
          <t>■ 基本</t>
        </is>
      </c>
      <c r="B5" s="29" t="n"/>
      <c r="C5" s="29" t="n"/>
      <c r="D5" s="29" t="n"/>
      <c r="E5" s="29" t="n"/>
      <c r="F5" s="29" t="n"/>
      <c r="G5" s="29" t="n"/>
      <c r="H5" s="29" t="n"/>
      <c r="I5" s="29" t="n"/>
    </row>
    <row r="6">
      <c r="A6" s="26" t="inlineStr">
        <is>
          <t>担当</t>
        </is>
      </c>
      <c r="B6" s="12" t="inlineStr">
        <is>
          <t>ボーカル・シンセ・作詞作曲・プロデュース</t>
        </is>
      </c>
      <c r="C6" s="12" t="inlineStr">
        <is>
          <t>プロデューサー（作曲・編曲・ミックス・声の切れ端の録音／レーベルのリミックス担当）</t>
        </is>
      </c>
      <c r="D6" s="12" t="inlineStr">
        <is>
          <t>ボーカル・シンセ・作詞作曲</t>
        </is>
      </c>
      <c r="E6" s="12" t="inlineStr">
        <is>
          <t>リードボーカル・ギター（作詞・メロディ）</t>
        </is>
      </c>
      <c r="F6" s="12" t="inlineStr">
        <is>
          <t>ベース・ハモり（コーラス）・曲の構成とアレンジ</t>
        </is>
      </c>
      <c r="G6" s="12" t="inlineStr">
        <is>
          <t>ドラム・コーラス（低いユニゾン）・機材と運転とお金の管理</t>
        </is>
      </c>
      <c r="H6" s="12" t="inlineStr">
        <is>
          <t>ボーカル（主旋律・上のハモり）／アコースティックギター／作詞</t>
        </is>
      </c>
      <c r="I6" s="12" t="inlineStr">
        <is>
          <t>ボーカル（主旋律・下のハモり）／ギター・ハーモニウム・マンドリン／作曲</t>
        </is>
      </c>
    </row>
    <row r="7">
      <c r="A7" s="26" t="inlineStr">
        <is>
          <t>年齢</t>
        </is>
      </c>
      <c r="B7" s="13" t="n">
        <v>33</v>
      </c>
      <c r="C7" s="13" t="n">
        <v>29</v>
      </c>
      <c r="D7" s="13" t="n">
        <v>24</v>
      </c>
      <c r="E7" s="13" t="n">
        <v>28</v>
      </c>
      <c r="F7" s="13" t="n">
        <v>29</v>
      </c>
      <c r="G7" s="13" t="n">
        <v>27</v>
      </c>
      <c r="H7" s="13" t="n">
        <v>31</v>
      </c>
      <c r="I7" s="13" t="n">
        <v>36</v>
      </c>
    </row>
    <row r="8">
      <c r="A8" s="26" t="inlineStr">
        <is>
          <t>誕生日</t>
        </is>
      </c>
      <c r="B8" s="12" t="inlineStr">
        <is>
          <t>1993-02-04</t>
        </is>
      </c>
      <c r="C8" s="12" t="inlineStr">
        <is>
          <t>1997-03-11</t>
        </is>
      </c>
      <c r="D8" s="12" t="inlineStr">
        <is>
          <t>2002-03-20</t>
        </is>
      </c>
      <c r="E8" s="12" t="inlineStr">
        <is>
          <t>1998-05-21</t>
        </is>
      </c>
      <c r="F8" s="12" t="inlineStr">
        <is>
          <t>1997-02-09</t>
        </is>
      </c>
      <c r="G8" s="12" t="inlineStr">
        <is>
          <t>1999-01-11</t>
        </is>
      </c>
      <c r="H8" s="12" t="inlineStr">
        <is>
          <t>1995-04-17</t>
        </is>
      </c>
      <c r="I8" s="12" t="inlineStr">
        <is>
          <t>1990-02-11</t>
        </is>
      </c>
    </row>
    <row r="9">
      <c r="A9" s="26" t="inlineStr">
        <is>
          <t>性別</t>
        </is>
      </c>
      <c r="B9" s="12" t="inlineStr">
        <is>
          <t>男性</t>
        </is>
      </c>
      <c r="C9" s="12" t="inlineStr">
        <is>
          <t>女性</t>
        </is>
      </c>
      <c r="D9" s="12" t="inlineStr">
        <is>
          <t>女性</t>
        </is>
      </c>
      <c r="E9" s="12" t="inlineStr">
        <is>
          <t>男性</t>
        </is>
      </c>
      <c r="F9" s="12" t="inlineStr">
        <is>
          <t>女性</t>
        </is>
      </c>
      <c r="G9" s="12" t="inlineStr">
        <is>
          <t>男性</t>
        </is>
      </c>
      <c r="H9" s="12" t="inlineStr">
        <is>
          <t>女性</t>
        </is>
      </c>
      <c r="I9" s="12" t="inlineStr">
        <is>
          <t>男性</t>
        </is>
      </c>
    </row>
    <row r="10">
      <c r="A10" s="26" t="inlineStr">
        <is>
          <t>出身地</t>
        </is>
      </c>
      <c r="B10" s="12" t="inlineStr">
        <is>
          <t>アイルランド・コーク市メイフィールド</t>
        </is>
      </c>
      <c r="C10" s="12" t="inlineStr">
        <is>
          <t>イギリス・ロンドン・サザーク区ペッカム（ライ・レーンの近く）</t>
        </is>
      </c>
      <c r="D10" s="12" t="inlineStr">
        <is>
          <t>米国オレゴン州フッドリバー郡オデル（フッドリバーの病院で生まれる）</t>
        </is>
      </c>
      <c r="E10" s="12" t="inlineStr">
        <is>
          <t>オーストラリア・ビクトリア州メルボルン西部 St Albans（セント・オールバンズ）</t>
        </is>
      </c>
      <c r="F10" s="12" t="inlineStr">
        <is>
          <t>ブラジル・パラナ州ロンドリーナ（Londrina）</t>
        </is>
      </c>
      <c r="G10" s="12" t="inlineStr">
        <is>
          <t>ニュージーランド・ホークスベイ地方 Hastings（ヘイスティングス）生まれ、Napier（ネイピア）の Marewa 地区育ち</t>
        </is>
      </c>
      <c r="H10" s="12" t="inlineStr">
        <is>
          <t>ニュージーランド南島・オタゴ地方・マニオトト平原（パテアロア近くの羊牧場）</t>
        </is>
      </c>
      <c r="I10" s="12" t="inlineStr">
        <is>
          <t>ウェールズ・ペンブルックシャー・ソルヴァ（セント・ブライズ湾の奥の小さな潮待ち港）</t>
        </is>
      </c>
    </row>
    <row r="11">
      <c r="A11" s="26" t="inlineStr">
        <is>
          <t>ルーツ</t>
        </is>
      </c>
      <c r="B11" s="12" t="inlineStr">
        <is>
          <t>両親ともコーク生まれのアイルランド人。祖父母の代からコーク北側の労働者家庭。父方はマリーナの港と工場で働いてきた家</t>
        </is>
      </c>
      <c r="C11" s="12" t="inlineStr">
        <is>
          <t>ガーナ。父はクマシ出身のアシャンティ、母はケープコースト出身のファンティ。火曜日生まれなので、アカンの曜日名で『アベナ』（父クワベナと同じ曜日）。</t>
        </is>
      </c>
      <c r="D11" s="12" t="inlineStr">
        <is>
          <t>日本とアメリカのハーフ。母方は北海道函館市の漁師の家（祖父はイカ釣り漁師）、父方はオレゴン東部のザ・ダルズで 3 代続く働く人の家（小麦農場と道路工事）。</t>
        </is>
      </c>
      <c r="E11" s="12" t="inlineStr">
        <is>
          <t>フィリピン系オーストラリア人の 2 世。父はパンパンガ州アンヘレス出身、母はバタンガス州リパ出身で、1994 年に看護師の母の技能移民ビザで夫婦そろって移住した。</t>
        </is>
      </c>
      <c r="F11" s="12" t="inlineStr">
        <is>
          <t>日系ブラジル人 3 世。曾祖父母が 1930 年代に熊本からサンパウロ州のコーヒー農園へ移民した。母方には一部イタリア系の血も入る。</t>
        </is>
      </c>
      <c r="G11" s="12" t="inlineStr">
        <is>
          <t>母はサモア・ウポル島出身の両親を持つニュージーランド生まれのサモア系。父はスコットランド系ニュージーランド人の大工。</t>
        </is>
      </c>
      <c r="H11" s="12" t="inlineStr">
        <is>
          <t>父方は 1860 年代にスコットランドから入植した羊飼いの家系の 5 代目。母方は 1955 年にオランダ北部フリースラントから移住した酪農家の家系。</t>
        </is>
      </c>
      <c r="I11" s="12" t="inlineStr">
        <is>
          <t>父方は 3 代続く船大工の家で、祖父の代はカニとロブスターの漁師も兼ねた。母方はカーマーゼンシャーの丘の農家。家の中ではウェールズ語と英語が半々。</t>
        </is>
      </c>
    </row>
    <row r="12">
      <c r="A12" s="26" t="inlineStr">
        <is>
          <t>話せる言葉</t>
        </is>
      </c>
      <c r="B12" s="12" t="inlineStr">
        <is>
          <t>英語（コーク訛り）、アイルランド語（学校で習った程度の読み書き）、ポルトガル語（イネスの家族とのあいさつ程度）</t>
        </is>
      </c>
      <c r="C12" s="12" t="inlineStr">
        <is>
          <t>英語（母語・ヨークシャー訛り）、トウィ語（聞き取りはほぼ全部・話すのは家族とだけ）、ファンティ語（母方の挨拶と冗談くらい）、フランス語（学校で習った初歩）</t>
        </is>
      </c>
      <c r="D12" s="12" t="inlineStr">
        <is>
          <t>英語（母語・オレゴンの田舎町の話し方）、日本語（母語に近い・函館の言葉が混じる）、スペイン語（パン工場と配送先で覚えた日常会話程度）</t>
        </is>
      </c>
      <c r="E12" s="12" t="inlineStr">
        <is>
          <t>英語（母語）、タガログ語（聞き取りはほぼ完璧・話すのは家族向けの片言）、カパンパンガン語（祖母との挨拶程度）</t>
        </is>
      </c>
      <c r="F12" s="12" t="inlineStr">
        <is>
          <t>ポルトガル語（母語）、英語（仕事と日常）、日本語（小学生程度の会話と読み書き・浜松の方言が少し）、スペイン語（読むだけ）</t>
        </is>
      </c>
      <c r="G12" s="12" t="inlineStr">
        <is>
          <t>英語（母語）、サモア語（教会と祖母との会話は分かる・話すのは少し）、マオリ語の挨拶と歌（学校で習った）</t>
        </is>
      </c>
      <c r="H12" s="12" t="inlineStr">
        <is>
          <t>英語（ニュージーランド英語・母語）、オランダ語（祖母との日常会話程度）、テ・レオ・マオリ（学校で習った挨拶と歌程度）</t>
        </is>
      </c>
      <c r="I12" s="12" t="inlineStr">
        <is>
          <t>ウェールズ語（母語）、英語（母語）、コーンウォール語（ギグ漕ぎの掛け声と地名程度）</t>
        </is>
      </c>
    </row>
    <row r="13" ht="20" customHeight="1">
      <c r="A13" s="28" t="inlineStr">
        <is>
          <t>■ 見た目</t>
        </is>
      </c>
      <c r="B13" s="29" t="n"/>
      <c r="C13" s="29" t="n"/>
      <c r="D13" s="29" t="n"/>
      <c r="E13" s="29" t="n"/>
      <c r="F13" s="29" t="n"/>
      <c r="G13" s="29" t="n"/>
      <c r="H13" s="29" t="n"/>
      <c r="I13" s="29" t="n"/>
    </row>
    <row r="14">
      <c r="A14" s="26" t="inlineStr">
        <is>
          <t>身長(cm)</t>
        </is>
      </c>
      <c r="B14" s="13" t="n">
        <v>183</v>
      </c>
      <c r="C14" s="13" t="n">
        <v>171</v>
      </c>
      <c r="D14" s="13" t="n">
        <v>163</v>
      </c>
      <c r="E14" s="13" t="n">
        <v>174</v>
      </c>
      <c r="F14" s="13" t="n">
        <v>162</v>
      </c>
      <c r="G14" s="13" t="n">
        <v>183</v>
      </c>
      <c r="H14" s="13" t="n">
        <v>166</v>
      </c>
      <c r="I14" s="13" t="n">
        <v>181</v>
      </c>
    </row>
    <row r="15">
      <c r="A15" s="26" t="inlineStr">
        <is>
          <t>体重(kg)</t>
        </is>
      </c>
      <c r="B15" s="13" t="n">
        <v>76</v>
      </c>
      <c r="C15" s="13" t="n">
        <v>60</v>
      </c>
      <c r="D15" s="13" t="n">
        <v>52</v>
      </c>
      <c r="E15" s="13" t="n">
        <v>68</v>
      </c>
      <c r="F15" s="13" t="n">
        <v>54</v>
      </c>
      <c r="G15" s="13" t="n">
        <v>86</v>
      </c>
      <c r="H15" s="13" t="n">
        <v>58</v>
      </c>
      <c r="I15" s="13" t="n">
        <v>78</v>
      </c>
    </row>
    <row r="16">
      <c r="A16" s="26" t="inlineStr">
        <is>
          <t>髪の色</t>
        </is>
      </c>
      <c r="B16" s="12" t="inlineStr">
        <is>
          <t>暗い栗色（こめかみに白髪が数本）</t>
        </is>
      </c>
      <c r="C16" s="12" t="inlineStr">
        <is>
          <t>黒（光に透けると毛先だけ焦げ茶）</t>
        </is>
      </c>
      <c r="D16" s="12" t="inlineStr">
        <is>
          <t>暗いブラウン（日に当たると赤みが出る）。染めていない</t>
        </is>
      </c>
      <c r="E16" s="12" t="inlineStr">
        <is>
          <t>黒</t>
        </is>
      </c>
      <c r="F16" s="12" t="inlineStr">
        <is>
          <t>黒に近いこげ茶</t>
        </is>
      </c>
      <c r="G16" s="12" t="inlineStr">
        <is>
          <t>黒</t>
        </is>
      </c>
      <c r="H16" s="12" t="inlineStr">
        <is>
          <t>暗めの麦わら色のブロンド（雨の日は砂色に見える）</t>
        </is>
      </c>
      <c r="I16" s="12" t="inlineStr">
        <is>
          <t>濃い茶色（こめかみに白髪が少し）</t>
        </is>
      </c>
    </row>
    <row r="17">
      <c r="A17" s="26" t="inlineStr">
        <is>
          <t>髪の長さ</t>
        </is>
      </c>
      <c r="B17" s="12" t="inlineStr">
        <is>
          <t>短め（耳にかからない長さ）</t>
        </is>
      </c>
      <c r="C17" s="12" t="inlineStr">
        <is>
          <t>背中の中ほど（ブレイズ込み）</t>
        </is>
      </c>
      <c r="D17" s="12" t="inlineStr">
        <is>
          <t>肩甲骨にかかるくらいのロング</t>
        </is>
      </c>
      <c r="E17" s="12" t="inlineStr">
        <is>
          <t>短め（耳が出る長さ・トップだけ 6 cm ほど）</t>
        </is>
      </c>
      <c r="F17" s="12" t="inlineStr">
        <is>
          <t>肩につく長さ</t>
        </is>
      </c>
      <c r="G17" s="12" t="inlineStr">
        <is>
          <t>短め（2022 年に見習いを始めたとき、結べる長さから切った）</t>
        </is>
      </c>
      <c r="H17" s="12" t="inlineStr">
        <is>
          <t>肩甲骨の下まで</t>
        </is>
      </c>
      <c r="I17" s="12" t="inlineStr">
        <is>
          <t>耳にかかる程度の短髪と短い髭</t>
        </is>
      </c>
    </row>
    <row r="18">
      <c r="A18" s="26" t="inlineStr">
        <is>
          <t>髪型</t>
        </is>
      </c>
      <c r="B18" s="12" t="inlineStr">
        <is>
          <t>横は短く、上を少し長めに残して手ぐしで後ろへ流すだけ。整髪料はほとんど使わない</t>
        </is>
      </c>
      <c r="C18" s="12" t="inlineStr">
        <is>
          <t>細めのボックスブレイズを低い位置でひとつにまとめる。作業中はくすんだ緑の綿のスカーフで押さえ、うなじは出したまま。</t>
        </is>
      </c>
      <c r="D18" s="12" t="inlineStr">
        <is>
          <t>仕事中は低い位置で一つに結んでニット帽に押し込む。休みの日は下ろして耳にかけるだけ</t>
        </is>
      </c>
      <c r="E18" s="12" t="inlineStr">
        <is>
          <t>サイドを短く刈り上げ、トップを無造作に後ろへ流す。現場用のキャップの跡がいつも付いている</t>
        </is>
      </c>
      <c r="F18" s="12" t="inlineStr">
        <is>
          <t>前髪なしのセンター分けのボブ。作業中は鉛筆を 1 本挿して後ろでまとめる</t>
        </is>
      </c>
      <c r="G18" s="12" t="inlineStr">
        <is>
          <t>サイドは短く、トップは天然のゆるいウェーブを残す</t>
        </is>
      </c>
      <c r="H18" s="12" t="inlineStr">
        <is>
          <t>低い位置で 1 本に編んだ三つ編み。作業中は鉛筆 1 本で留めたお団子。</t>
        </is>
      </c>
      <c r="I18" s="12" t="inlineStr">
        <is>
          <t>自分ではさみで切る無造作な短髪。作業中はアイラが編んだニット帽。</t>
        </is>
      </c>
    </row>
    <row r="19">
      <c r="A19" s="26" t="inlineStr">
        <is>
          <t>好きなファッション</t>
        </is>
      </c>
      <c r="B19" s="12" t="inlineStr">
        <is>
          <t>古着のワークウェアが中心。色の抜けた紺のコットンダックのワークジャケット、父の形見の生成りのアラン編みセーター、黒のストレートデニム、スエードのデザートブーツ。冬は厚手のウールのピーコートと濃緑のマフラー。ロゴの大きな服と光沢のある新しい素材は着ない。</t>
        </is>
      </c>
      <c r="C19" s="12" t="inlineStr">
        <is>
          <t>作業着が基本。生成りや墨色のキャンバス地のチョアジャケット、膝の擦れた太めのカーペンターパンツ、ソールを 2 回張り替えた革のワークブーツ。古着は 90 年代の英国の作業着や、アラン編みのフィッシャーマンセーターを北部の古着屋で探す。柄物は、母がくれたワックスプリントの布を裏地に張った手縫いのトートだけ。細い黒縁の眼鏡と、首に掛けたままの密閉型ヘッドホン。</t>
        </is>
      </c>
      <c r="D19" s="12" t="inlineStr">
        <is>
          <t>米国のワークウェア系の色落ちしたダック地のジャケット（茶色・肘は刺し子で補修）と厚手のネルシャツ。ポートランドの古着屋で買う 90 年代のフリースと、ウールの漁師セーター。足元は防水のワークブーツで、冬じゅう日本の作業服店で買う薄手の防寒インナーを着ている。色は茶・紺・生成りでまとめ、ロゴの大きい服は着ない。</t>
        </is>
      </c>
      <c r="E19" s="12" t="inlineStr">
        <is>
          <t>古着屋で 15 ドル以下で見つける 80〜90 年代の化繊の半袖オープンカラーシャツ（幾何学柄やくすんだストライプ）、裾を一折りした太めのチノ、白いキャンバスのスニーカー。設計事務所時代の黒いタートルネックは辞めた月に全部手放した。</t>
        </is>
      </c>
      <c r="F19" s="12" t="inlineStr">
        <is>
          <t>80〜90 年代の日本製のくすんだ色のカバーオールやワークジャケットの古着に、ハイウエストのワイドパンツ。ベースを弾く日は袖をまくった無地の厚手 T シャツ。靴は黒い革のローファー。装飾は母からもらった細い金の指輪 1 つだけ。</t>
        </is>
      </c>
      <c r="G19" s="12" t="inlineStr">
        <is>
          <t>膝を補強した厚手の綿のワークパンツ、色あせた無地のフーディー、安全靴かビーチサンダル（本人は jandals と呼ぶ）。ライブでは父のお下がりのウールのチェックシャツを着る。</t>
        </is>
      </c>
      <c r="H19" s="12" t="inlineStr">
        <is>
          <t>自分で編んだ生成りやグレーの漁師のセーター（ガンジー）が中心。古着屋で探す 90 年代の厚手の綿のワークパンツと、踵を何度も直した革の編み上げブーツ。新品より、繕いの跡が見える服を好む。</t>
        </is>
      </c>
      <c r="I19" s="12" t="inlineStr">
        <is>
          <t>厚手の綿キャンバスの作業着と、アイラが編んだ紺のガンジー。古着の油引きの雨合羽（黄色ではなくオリーブ色）と、木屑が入り込んだ革のブーツ。腕時計はせず、潮見表で時間を見る。</t>
        </is>
      </c>
    </row>
    <row r="20" ht="20" customHeight="1">
      <c r="A20" s="28" t="inlineStr">
        <is>
          <t>■ 内面</t>
        </is>
      </c>
      <c r="B20" s="29" t="n"/>
      <c r="C20" s="29" t="n"/>
      <c r="D20" s="29" t="n"/>
      <c r="E20" s="29" t="n"/>
      <c r="F20" s="29" t="n"/>
      <c r="G20" s="29" t="n"/>
      <c r="H20" s="29" t="n"/>
      <c r="I20" s="29" t="n"/>
    </row>
    <row r="21">
      <c r="A21" s="26" t="inlineStr">
        <is>
          <t>性格</t>
        </is>
      </c>
      <c r="B21" s="12" t="inlineStr">
        <is>
          <t>穏やかで聞き上手。人の話を最後まで聞いてから、低い声で短く一言返す。人前に立つのは今も苦手だが、機械とケーブルの前では落ち着いている。乾いた冗談を真顔で言う。頑固なのは音の細部と約束の時刻だけ。</t>
        </is>
      </c>
      <c r="C21" s="12" t="inlineStr">
        <is>
          <t>観察してから動く。手は速く、口は遅い。決めたことは静かに頑固に守る。冗談は乾いていて、言ってから自分で少し笑う。人の話は最後まで聞くが、自分の話は短い。完璧主義だが、締め切りの前では『間に合わせる』を選べる。</t>
        </is>
      </c>
      <c r="D21" s="12" t="inlineStr">
        <is>
          <t>時間に正確で、朝は誰より機嫌がいい。口数は少ないが、聞かれたことにはまっすぐ答え、乾いた冗談を真顔で言う。人に頼るのが下手で、手伝いを申し出るほうが楽。予定が崩れると静かに不機嫌になる。</t>
        </is>
      </c>
      <c r="E21" s="12" t="inlineStr">
        <is>
          <t>人当たりがよく、冗談で場をほぐすのが得意。観察が細かく、ガソリンスタンドの値札の書体や高架の継ぎ目の数まで覚えている。衝突を避けて黙り込む癖があり、決めるのが遅い。</t>
        </is>
      </c>
      <c r="F21" s="12" t="inlineStr">
        <is>
          <t>几帳面で率直、結論から話す。図面か表を描かないと考えがまとまらない。怒ると早口でポルトガル語が混ざるが、5 分後には自分から謝る。人の家の台所を見るのが好きで、間取りの話になると止まらない。</t>
        </is>
      </c>
      <c r="G21" s="12" t="inlineStr">
        <is>
          <t>穏やかで現実的。話す前に一呼吸置く。3 人の中でいちばんお金と時間に正確で、ツアーの予算表とバンの整備記録をつける。めったに怒らないが、怒ると無言で片付けを始める。笑わせるのはキノ、笑うのはタヴ。</t>
        </is>
      </c>
      <c r="H21" s="12" t="inlineStr">
        <is>
          <t>口数は少ないが、手を動かしながらだと話が止まらない。決めるのは遅いが、一度決めると変えない。困ったときほど黙って編み目を数え始める。</t>
        </is>
      </c>
      <c r="I21" s="12" t="inlineStr">
        <is>
          <t>穏やかで冗談好き、人前では一歩下がる。考えるときは耳に挟んだ鉛筆を取って木の板に書く。めったに怒らないが、雑な仕事を見ると黙り込む。</t>
        </is>
      </c>
    </row>
    <row r="22">
      <c r="A22" s="26" t="inlineStr">
        <is>
          <t>人生観・価値観</t>
        </is>
      </c>
      <c r="B22" s="12" t="inlineStr">
        <is>
          <t>時間は戻らないが、録っておくことはできる。大きく残すより小さく確かに残す。夜に働く人の時間も昼と同じ重さがある。故郷を出たことを後悔も美化もしない。</t>
        </is>
      </c>
      <c r="C22" s="12" t="inlineStr">
        <is>
          <t>空いているところは欠けているのではなく、使うために空けてある。親の期待は否定せず、自分の手の仕事で応える。急いで切った線は自分に返ってくる。夜は何かを生む時間というより、整える時間。</t>
        </is>
      </c>
      <c r="D22" s="12" t="inlineStr">
        <is>
          <t>早起きは偉さではなく、夜のうちに道を開けてくれた人への礼儀だと思っている。どちらの国の人かと聞かれたら、どちらの朝も知っている人だと答えたい。大きな夢より、毎朝の小さな約束（遅れない・ちゃんと届ける）を守ることで自分を信じられるようになった。</t>
        </is>
      </c>
      <c r="E22" s="12" t="inlineStr">
        <is>
          <t>家は建物ではなく、人が帰ってくる場所だと思っている。父が工場の閉鎖で仕事を失うのを見て、肩書きを自分の価値にしないと決めた。毎日を誰と過ごすかを、何を作るかと同じくらい大事にする。</t>
        </is>
      </c>
      <c r="F22" s="12" t="inlineStr">
        <is>
          <t>住む人の数だけ正しい間取りがあると思っている。移り住む子どもとして育ったので、仮住まいでも丁寧に暮らす。家賃を払える家こそいちばん良い建築だと信じて、社会住宅の設計を選んだ。</t>
        </is>
      </c>
      <c r="G22" s="12" t="inlineStr">
        <is>
          <t>描いたものより、建ったものを信じる。手を動かす仕事を下に見る空気が嫌いで、修士を出てから見習い大工になったことを後悔していない。家族と教会と仲間に使う時間を削らない。</t>
        </is>
      </c>
      <c r="H22" s="12" t="inlineStr">
        <is>
          <t>物は直しながら長く使う。早く終わらせるより、手を動かしている時間そのものが暮らしだと思っている。天気には逆らわない。</t>
        </is>
      </c>
      <c r="I22" s="12" t="inlineStr">
        <is>
          <t>木は急がせると割れる。直せる物は直し、直せない物は次の何かに使う。家族と港の人には手を抜かない。</t>
        </is>
      </c>
    </row>
    <row r="23" ht="20" customHeight="1">
      <c r="A23" s="28" t="inlineStr">
        <is>
          <t>■ 話し方</t>
        </is>
      </c>
      <c r="B23" s="29" t="n"/>
      <c r="C23" s="29" t="n"/>
      <c r="D23" s="29" t="n"/>
      <c r="E23" s="29" t="n"/>
      <c r="F23" s="29" t="n"/>
      <c r="G23" s="29" t="n"/>
      <c r="H23" s="29" t="n"/>
      <c r="I23" s="29" t="n"/>
    </row>
    <row r="24">
      <c r="A24" s="26" t="inlineStr">
        <is>
          <t>話し方・訛り</t>
        </is>
      </c>
      <c r="B24" s="12" t="inlineStr">
        <is>
          <t>低くゆっくり話し、文の終わりがコーク訛り特有の歌うような上がり下がりになる。th が t・d に近くなり（three が 'tree' に聞こえる）、文末に like を足し、強調に fierce（すごく）を使う。トロントで少し平らになったが、母と電話すると 3 分で元に戻る。</t>
        </is>
      </c>
      <c r="C24" s="12" t="inlineStr">
        <is>
          <t>リーズ育ちのヨークシャー訛りが土台。bus の u を短く平らに発音し、the を弱く飲み込み（going t' shop）、親しい人には love と呼びかける。ロンドン暮らしで角は取れたが、疲れると北部の母音が戻る。家族とはトウィ語の混じったガーナ英語に切り替わり、文末に oo を付けて柔らかくする。声は低めで、言い切ってから黙る。</t>
        </is>
      </c>
      <c r="D24" s="12" t="inlineStr">
        <is>
          <t>英語はオレゴンの田舎町の西海岸アクセントで、Oregon を「オーリガン」と発音し、you guys や pretty much をよく使う。母音がはっきりしていて語尾の子音を落とさないのは日本語の影響だと言われる。日本語は母と祖母譲りで、函館の言葉（〜っしょ・したっけ・しばれる）が混じる。電話では父の業務無線の口調がうつって、短く要点だけ話す。</t>
        </is>
      </c>
      <c r="E24" s="12" t="inlineStr">
        <is>
          <t>メルボルン西部のオーストラリア英語。母音が平たく、文末が質問のように上がる。家族と話すとタガログ語と英語が混ざり、年上には語尾に "po" を付けて丁寧にする。早口で、話しながら自分で笑う。</t>
        </is>
      </c>
      <c r="F24" s="12" t="inlineStr">
        <is>
          <t>ブラジル・ポルトガル語の訛りが残る英語。語末の子音に軽い『イ』が付き、th が t に寄る。メルボルン在住 9 年で heaps や reckon などのオーストラリア英語の語彙が混ざる。日本語を話すと浜松で覚えた遠州弁の『〜だら』『〜じゃん』が出る。</t>
        </is>
      </c>
      <c r="G24" s="12" t="inlineStr">
        <is>
          <t>ニュージーランド英語の訛り。six が sux に、fish が fush に寄り、文末に eh を付ける。13 歳から豪州だが、母や Napier の友人と話すと訛りが戻る。低い声でゆっくり話す。</t>
        </is>
      </c>
      <c r="H24" s="12" t="inlineStr">
        <is>
          <t>ニュージーランド南島の英語。短い e が i に寄り（yes が yis に近い）、文末が少し上がる。祖父母の代のサウスランド訛りの名残で、r をかすかに巻く。</t>
        </is>
      </c>
      <c r="I24" s="12" t="inlineStr">
        <is>
          <t>北ペンブルックシャーのウェールズ英語。歌うように上下する抑揚で、r を軽く弾く。文末に like を付けがちで、驚くとウェールズ語で Duw（なんとまあ）と言う。</t>
        </is>
      </c>
    </row>
    <row r="25">
      <c r="A25" s="26" t="inlineStr">
        <is>
          <t>口癖</t>
        </is>
      </c>
      <c r="B25" s="12" t="inlineStr">
        <is>
          <t>Grand so（じゃあそれでいこう）、Sure look（まあ・仕方ないさ）、Go 'way（まさか・冗談だろ）、That's the job（それが仕事だからな）</t>
        </is>
      </c>
      <c r="C25" s="12" t="inlineStr">
        <is>
          <t>Leave it hollow.（そこは空けといて）、It'll do.（今はこれで十分）、Chale…（ねえ・まったくもう〔ガーナの口語〕）、Ta, love.（ありがとね〔ヨークシャーの言い方〕）</t>
        </is>
      </c>
      <c r="D25" s="12" t="inlineStr">
        <is>
          <t>Copy that.（了解。父の業務無線の言い方）、First light's at six-fifty.（日の出は 6 時 50 分だよ）、したっけ（じゃあね・それじゃあ。函館の祖母の口癖）、Easy does it.（ゆっくりでいいよ）</t>
        </is>
      </c>
      <c r="E25" s="12" t="inlineStr">
        <is>
          <t>Sige sige.（いいよいいよ／わかったわかった）、Yeah nah, hear me out.（いや待って・聞いて）、Good enough is a load path.（ちょうどいいで十分持つ）、Ay naku.（あーあ・まいったな）</t>
        </is>
      </c>
      <c r="F25" s="12" t="inlineStr">
        <is>
          <t>Calma.（落ち着いて）、Tá bom tá bom.（はいはい／わかったわかった）、Show me the section.（断面を見せて＝中身をちゃんと説明して）、やらまいか（やってみよう＝浜松の言葉）</t>
        </is>
      </c>
      <c r="G25" s="12" t="inlineStr">
        <is>
          <t>Sweet as.（いいね／問題なし）、Chur.（ありがとう／了解）、Measure twice.（2 回測れ＝落ち着け）、Faʻafetai.（ありがとう＝サモア語）</t>
        </is>
      </c>
      <c r="H25" s="12" t="inlineStr">
        <is>
          <t>“Yeah nah”（うーん・いや違うかな）、“She'll be right”（なんとかなるよ）、“Sweet as”（いいね・了解）</t>
        </is>
      </c>
      <c r="I25" s="12" t="inlineStr">
        <is>
          <t>“There's lovely”（いいねえ・素敵だね）、“Now in a minute”（あとでね・そのうちやるよ）、“Iawn”（ウェールズ語で「よし」「オーケー」）、“Measure twice and cut once”（2 回測って 1 回で切れ）</t>
        </is>
      </c>
    </row>
    <row r="26">
      <c r="A26" s="26" t="inlineStr">
        <is>
          <t>語尾</t>
        </is>
      </c>
      <c r="B26" s="12" t="inlineStr">
        <is>
          <t>「〜だな」「〜さ」で短く終える。言い切らずに「〜かもな」「まあ、いいさ」で締めることが多い</t>
        </is>
      </c>
      <c r="C26" s="12" t="inlineStr">
        <is>
          <t>「〜だね」「〜でいいよ」と短く言い切る。考え中は「…まあね」で締める。家族の前では「〜でしょ、ね」と少し甘くなる。</t>
        </is>
      </c>
      <c r="D26" s="12" t="inlineStr">
        <is>
          <t>「〜かな、たぶん」と言い切らずに置く。誘うときは「〜しよっか」。祖母と話すときだけ「〜っしょ」が出る。</t>
        </is>
      </c>
      <c r="E26" s="12" t="inlineStr">
        <is>
          <t>「〜じゃん？」「〜かもね、たぶん」</t>
        </is>
      </c>
      <c r="F26" s="12" t="inlineStr">
        <is>
          <t>「〜でしょ？」「〜だと思う、たぶん」</t>
        </is>
      </c>
      <c r="G26" s="12" t="inlineStr">
        <is>
          <t>「〜だな、うん」「〜でいいんじゃない？」</t>
        </is>
      </c>
      <c r="H26" s="12" t="inlineStr">
        <is>
          <t>「〜かな、たぶん」「〜だよね」。言い切らず、後ろに少し余白を残す。</t>
        </is>
      </c>
      <c r="I26" s="12" t="inlineStr">
        <is>
          <t>「〜だねえ」「〜じゃないかな、まあ」。語尾を少し伸ばして柔らかくする。</t>
        </is>
      </c>
    </row>
    <row r="27" ht="20" customHeight="1">
      <c r="A27" s="28" t="inlineStr">
        <is>
          <t>■ 暮らしと人</t>
        </is>
      </c>
      <c r="B27" s="29" t="n"/>
      <c r="C27" s="29" t="n"/>
      <c r="D27" s="29" t="n"/>
      <c r="E27" s="29" t="n"/>
      <c r="F27" s="29" t="n"/>
      <c r="G27" s="29" t="n"/>
      <c r="H27" s="29" t="n"/>
      <c r="I27" s="29" t="n"/>
    </row>
    <row r="28">
      <c r="A28" s="26" t="inlineStr">
        <is>
          <t>家族構成</t>
        </is>
      </c>
      <c r="B28" s="12" t="inlineStr">
        <is>
          <t>父ジェラード（1964〜2002。マリーナの自動車工場の工員を経て、工場の閉鎖後は自分の深緑のセダンで夜のタクシー運転手。深夜ラジオをカセットに録って日付と時刻を手書きするのが趣味だった。2002 年 11 月、夜の乗務の後に心臓発作で 38 歳で死去。デクラン 9 歳のとき）、母マレード（60 歳。ブラックプールの診療所の受付を 25 年。教会と家でピアノを弾き、近所の子どもにも教えてきた。口数が多く、毎朝コークの空の写真を送ってくる。日曜のビデオ通話の主役）、父方の祖父モーリス『モッシー』（1936〜2021。港の荷役を勤め上げ 2001 年に引退。息子の死後、深緑のセダンと 43 本のテープを自宅のガレージに 19 年しまっておいた。2021 年に 84 歳で死去）、父方の祖母ノラ（1939〜2012。洋裁の内職）、妹シアラ（30 歳。コークの病院の看護師。体育教師のデイブと結婚し、2024 年生まれの息子ロリーがいる）。パートナーはトロント生まれのポルトガル系カナダ人イネス・カルヴァーリョ（32 歳。ダンダス・ストリート・ウエストのパン屋の菓子職人。2023 年から交際し 2025 年から同居）。</t>
        </is>
      </c>
      <c r="C28" s="12" t="inlineStr">
        <is>
          <t>父クワベナ（62 歳）：クマシ出身のアシャンティ。1989 年に留学で渡英し、英国の薬剤師資格を取り直した。リーズの教育病院の薬剤部に 20 年勤め、2024 年の心臓のステント治療後は週 3 日勤務。几帳面で口数が少なく、レコードを薬の棚のようにラベルを付けて並べる。母アコスア（60 歳）：ケープコースト出身のファンティ。1992 年に渡英し、英国で 34 年看護師を務め（ほとんど夜勤）、2026 年 9 月に退職。教会の聖歌隊。娘には医者になってほしかったが、今は娘の曲を教会の友人に配っている。弟コフィ（26 歳）：マンチェスターの病院の研修医で、親の期待を引き受けた側。姉の曲の最初の聴き手。父方の祖母アフア：クマシの中庭のある家で布を商っていた。2019 年に 84 歳で死去。母方の叔母エフア（63 歳）：ペッカムで美容室を 25 年。その娘で 4 歳上のいとこアマ（33 歳）はルイシャムの小学校の先生。クマシに叔父 2 人と十数人のいとこ。</t>
        </is>
      </c>
      <c r="D28" s="12" t="inlineStr">
        <is>
          <t>父 Dale Harlan（56）：オレゴン州の道路保守班の作業員。冬はマウントフッドの東側の峠道を夜明け前から除雪車で走り、夏はガードレールの修理と草刈り。無口で、家族への連絡は日の出時刻と道路状況だけ。この冬（2026〜27 年）で引退予定。母 工藤由紀（Yuki Harlan・52）：函館出身。フッドリバーの果物の選果場の事務をしながら、家で子どもたちに日本語を教える。1998 年に山のスキー場で冬の仕事をしていたとき、除雪班が朝食をとるパークデールの食堂で父と出会った。弟 Ken Harlan（工藤健・20）：ワシントン州東部の大学で林学を学び、夏は山火事の消火隊で働く。仲は良いが口数の少なさは父そっくり。母方の祖母 工藤フミ（80）：函館の弥生町で一人暮らし。2018 年まで朝市の乾物屋で働いた。母方の祖父 工藤勝男：イカ釣り漁師。2022 年 3 月に 79 歳で亡くなった。母の兄 工藤誠（56）：函館港のフェリーの整備士で、祖母の様子を毎日見に行く。父方の祖母 Margaret Harlan（81）：ザ・ダルズ在住の元食堂の調理係。父方の祖父 Roy は 2015 年に亡くなった。</t>
        </is>
      </c>
      <c r="E28" s="12" t="inlineStr">
        <is>
          <t>父 Ramon（60 歳）：西部の自動車工場で 22 年ライン工として働き、2017 年の閉鎖で失職。51 歳で大型トラックの免許を取り、今はメルボルン〜シドニーを週 2 往復する長距離トラック運転手。来年 3 月で引退する予定。母 Lorna（58 歳）：高齢者施設の正看護師で、家の決めごとは母が決める。妹 Trixie（25 歳）：小学校の先生で Point Cook に住む。いちばん率直にキノの歌詞を批評する。祖母 Lola Ising（84 歳）：2015 年からセント・オールバンズの実家で同居。父方の祖父母はすでに他界。</t>
        </is>
      </c>
      <c r="F28" s="12" t="inlineStr">
        <is>
          <t>父 Jorge Hideo（61 歳）：2003〜2009 年に浜松の自動車部品工場で派遣として働き、帰国後はサンパウロの日系スーパーの配送管理。無口で、娘の録音を毎回 3 回聴いて『ベースが小さい』とだけ送ってくる。母 Cristina Mayumi（57 歳）：浜松では弁当工場の夜勤、今はサンパウロの病院で日本語とポルトガル語の通訳。弟 Lucas Kenji（26 歳）：サンパウロのゲーム会社のプログラマー。祖母 Fumiko は 2021 年にロンドリーナで 89 歳で亡くなった。恋人はいない（2022 年に 3 年付き合った人と別れて以来、1 人の暮らしを気に入っている）。</t>
        </is>
      </c>
      <c r="G28" s="12" t="inlineStr">
        <is>
          <t>父 Gordon（58 歳）：大工。2012 年に仕事を求めて一家でメルボルンへ移住。2021 年に現場で腰を痛めてからは小さな修繕だけ受けている。母 Losa（55 歳）：病院の病棟クラークで、南東部のサモア系教会の聖歌隊。姉 Mele（30 歳）：オークランドに戻って小学校の先生、2 児の母。妹 Ana（22 歳）：大学で看護を学ぶ。母方の祖母 Fetu（79 歳）：今も Napier に住む。恋人 Grace（28 歳）：救急の看護師で、2025 年から Coburg で同居。</t>
        </is>
      </c>
      <c r="H28" s="12" t="inlineStr">
        <is>
          <t>父 Graeme（63）：羊牧場の経営者でメリノ種を約 3,000 頭飼う。母 Anneke（60）：元地区学校の教員助手で、今は羊毛の手紡ぎ。兄 Callum（34）：牧場を継ぎ、妻と幼い娘 2 人と同じ敷地に住む。母方の祖母 Oma こと Wietske（88）：ダニーデンの施設で暮らし、7 歳のアイラに編み物を教えた人。父方の祖父母は他界。夫ゲシン（36）。</t>
        </is>
      </c>
      <c r="I28" s="12" t="inlineStr">
        <is>
          <t>父 Huw（66）：ソルヴァで 3 代目の船大工。2021 年に心臓のバイパス手術を受け、今は修理の仕事だけを請け負う。母 Eirlys（64）：元小学校の補助教員で、礼拝堂の合唱団のアルト。妹 Ffion（33）：カーディフの病院の助産師で、パートナーと暮らす。祖父 Dai：漁師兼船大工（2009 年に 81 歳で他界）。妻アイラ（31）。</t>
        </is>
      </c>
    </row>
    <row r="29">
      <c r="A29" s="26" t="inlineStr">
        <is>
          <t>友人</t>
        </is>
      </c>
      <c r="B29" s="12" t="inlineStr">
        <is>
          <t>親しいのは 5 人。トロント行きのきっかけをくれた大学の同級生コナー（電気工事士・2 児の父・ミシサガ在住）、局の朝番組のプロデューサーのデニース（ジャマイカ系カナダ人・50 代・制作の相談相手）、配送時代の同僚で今は夜のタクシー運転手のジョエル（フィリピン出身）、コークの幼なじみフィアクラ（港の荷役・毎週ハーリングの試合をボイスメモで実況してくる）、ジャンクション地区のバーの店主マルタ（ポーランド系・ライブの枠をくれた人）。</t>
        </is>
      </c>
      <c r="C29" s="12" t="inlineStr">
        <is>
          <t>親しい友人は 4 人。①ファンミ（31 歳）：ナイジェリア系のロンドン育ち。ハックニー・ウィックのコミュニティラジオで深夜番組を持つ DJ で、最初に曲を電波に乗せた人。②アラスデア（56 歳）：グラスゴー出身の工房の先輩職人。道具の研ぎ方と『急ぐな』を教えた、口数の少ない師匠。③ハナ（29 歳）：シェフィールドの建築学科の同期で、今はロッテルダムの設計事務所。時差 1 時間の深夜に電話できる唯一の人。④デショーン（29 歳）：リーズの幼なじみでカリブ系、地元の小学校の先生。帰省のたびに夜中のドライブに付き合ってくれる。</t>
        </is>
      </c>
      <c r="D29" s="12" t="inlineStr">
        <is>
          <t>親しい友人は 4 人。配送元のベーカリーの主任パン職人 Marisol（31・メキシコ系・午前 2 時から働き、仕事帰りに一緒に朝食をとる）。高校の同級生で実家の果樹園を継いだ Callie（24・月 1 回の長電話）。函館の幼なじみで朝市の食堂で働く 美咲（24・夏の体験入学のときからの友達）。函館のライブバーで出会ったギタリストの 浩平（36・船具店勤務・制作の相談相手）。大勢の集まりは苦手で、1 対 1 の付き合いが多い。</t>
        </is>
      </c>
      <c r="E29" s="12" t="inlineStr">
        <is>
          <t>小学校からの友人 2 人（電気技師と、フィリピン系の看護師）と、設計事務所時代の同期 1 人。いとこが 14 人いて、交友関係の中心は親戚。2024 年に別れた元恋人とは、誕生日にメッセージを送り合う程度。</t>
        </is>
      </c>
      <c r="F29" s="12" t="inlineStr">
        <is>
          <t>同じ時期に留学したブラジル人の友人 3 人（料理人・看護師・エンジニア）、事務所の同僚 2 人。浜松の小学校の同級生とは年に 1 回ビデオ通話をする。広く浅くより、狭く長く。</t>
        </is>
      </c>
      <c r="G29" s="12" t="inlineStr">
        <is>
          <t>見習い時代の仲間 4 人（全員年下の 20 代前半）と、教会で一緒に育ったいとこたち。Napier の小学校の親友 1 人とは週末にオンラインでゲームをする。友人は多いが、本音を話すのはキノとビア。</t>
        </is>
      </c>
      <c r="H29" s="12" t="inlineStr">
        <is>
          <t>親しい友人は 5 人。ダニーデンの寮で同室だった看護師（今も月 1 回ビデオ通話）、ペンリンの毛糸店の 60 代の店主、配信で知り合ったシェトランド諸島の編み手、ファルマスのパン屋で働くポーランド出身の友人、パブのセッションのフィドル弾き。</t>
        </is>
      </c>
      <c r="I29" s="12" t="inlineStr">
        <is>
          <t>親しい友人は 6 人。ソルヴァの幼なじみ 2 人（1 人は今もロブスター漁師）、ボートヤードの同僚でギグを一緒に漕ぐ男、ファルマスの専門学校時代の同級生、パブのセッションを仕切る 70 代のアコーディオン弾き、カーディフにいる妹。</t>
        </is>
      </c>
    </row>
    <row r="30">
      <c r="A30" s="26" t="inlineStr">
        <is>
          <t>休日の過ごし方</t>
        </is>
      </c>
      <c r="B30" s="12" t="inlineStr">
        <is>
          <t>日曜は昼過ぎに起き、近所のポルトガル系のカフェでエッグタルトと濃い紅茶。夕方にハイ・パークを歩き、日曜の夜 8 時（コークの深夜 1 時の前）に母とビデオ通話。月に 1 回は古道具屋と中古レコード店でカセットを探して回る。</t>
        </is>
      </c>
      <c r="C30" s="12" t="inlineStr">
        <is>
          <t>土曜の朝はレイトンからリー川沿いにウォルサムストウの湿地を歩き、昼は近所のカフェで紅茶。午後は工房の端材で自分用の小さな模型を作る。日曜は教会から帰った母と 1 時間のビデオ通話のあと、ひとりでライトスープを煮る。月に 1 度、目的地を決めずに夜行バスで終点まで乗り、始発で戻る。</t>
        </is>
      </c>
      <c r="D30" s="12" t="inlineStr">
        <is>
          <t>休みの日も 4 時台に目が覚めるので、そのまま 84 号線を東へ走り、峡谷の展望駐車場で日の出を見てから朝食をとる。隔週の日曜はフッドリバーの実家へ帰り、父と果樹園の農道を歩く。午後はコインランドリーで日の出ノートをつけ、図書館で地図と気象の本を借りる。夜は 8 時半には寝る。</t>
        </is>
      </c>
      <c r="E30" s="12" t="inlineStr">
        <is>
          <t>日曜はセント・オールバンズの実家で昼ご飯（母のシニガン）、そのあと祖母を乗せて教会とショッピングセンターへ。夕方は Footscray の古着屋と、ベトナム系のパン屋を回る。月に 1 回、目的地を決めずに北へ 2 時間走ってサービスエリアで引き返す。</t>
        </is>
      </c>
      <c r="F30" s="12" t="inlineStr">
        <is>
          <t>土曜の朝は Brunswick の市場で野菜を買い、昼はリハ。日曜は気になる住宅の内覧会に行って、間取りを方眼ノートに写す。年に 2 回、ブラジル人の友人と庭でシュハスコ（炭火焼き）をする。</t>
        </is>
      </c>
      <c r="G30" s="12" t="inlineStr">
        <is>
          <t>早朝に Grace と Merri Creek 沿いを走る。日曜は母の教会で礼拝のあと、若い子にドラムを教える。午後は父の家のフェンスや戸を直し、ラグビーの試合を父と見る。</t>
        </is>
      </c>
      <c r="H30" s="12" t="inlineStr">
        <is>
          <t>土曜はトゥルーロのファーマーズマーケットに毛糸の屋台を出す。日曜は雨でも岬の歩道を歩き、帰りにパン屋でサフランパンを買う。夜は暖炉の前でガンジーを編みながら配信する。</t>
        </is>
      </c>
      <c r="I30" s="12" t="inlineStr">
        <is>
          <t>土曜はアイラの屋台の横でギターを弾く。日曜の朝はギグ漕ぎクラブの練習でペンリン川を漕ぐ。月に 1 度、5 時間半かけてソルヴァの実家へ帰り、父と作業場を片付ける。</t>
        </is>
      </c>
    </row>
    <row r="31">
      <c r="A31" s="26" t="inlineStr">
        <is>
          <t>音楽以外の表現</t>
        </is>
      </c>
      <c r="B31" s="12" t="inlineStr">
        <is>
          <t>35mm のフィルムカメラで夜の道路と街灯だけを撮る。『夜の日誌』に時刻と場所と見たものを 1 行ずつ書く。消えていくオレンジの街灯を地図に記録している。</t>
        </is>
      </c>
      <c r="C31" s="12" t="inlineStr">
        <is>
          <t>建築模型（本業）。訪れた建物の平面図を記憶で描くスケッチブック（中庭と吹き抜けだけは塗らない）。1 曲ごとに作る手のひら大のバルサの『部屋の模型』。</t>
        </is>
      </c>
      <c r="D31" s="12" t="inlineStr">
        <is>
          <t>日の出ノート（10 歳から毎朝・27 冊目）。祖母に習った刺し子で作業着や手袋を繕う。配送ルートの道路標識の書体を写真に撮って集めている。</t>
        </is>
      </c>
      <c r="E31" s="12" t="inlineStr">
        <is>
          <t>サービスエリアやガソリンスタンドを実測ふうに描いた小さな平面図を集めたコピー本を、年 1 冊 100 部だけ作る。3D パースの仕事の合間に、誰も頼んでいない架空の休憩所の設計図を描く。</t>
        </is>
      </c>
      <c r="F31" s="12" t="inlineStr">
        <is>
          <t>気に入った家の間取りを 1/100 で方眼ノートに写す『よその家ノート』（今 7 冊目）。月 2 回、Brunswick の陶芸教室で取っ手の無いカップを作っている。</t>
        </is>
      </c>
      <c r="G31" s="12" t="inlineStr">
        <is>
          <t>現場で余った木材で、スネアドラムの胴や小さな家具を作る。バンドの機材ケースと物販の棚は全部タヴの手作り。</t>
        </is>
      </c>
      <c r="H31" s="12" t="inlineStr">
        <is>
          <t>伝統的な漁師のセーター（ガンジー）の手編みの受注製作と、ハリエニシダの花や玉ねぎの皮での毛糸の草木染め。週 1 回の編み物配信。</t>
        </is>
      </c>
      <c r="I31" s="12" t="inlineStr">
        <is>
          <t>木のボートの修理と、端材で作るスプーンやアイラ用の編み針。端材の板に港の潮の時刻を焼き付けた小物も作る。</t>
        </is>
      </c>
    </row>
    <row r="32" ht="20" customHeight="1">
      <c r="A32" s="28" t="inlineStr">
        <is>
          <t>■ 仕事</t>
        </is>
      </c>
      <c r="B32" s="29" t="n"/>
      <c r="C32" s="29" t="n"/>
      <c r="D32" s="29" t="n"/>
      <c r="E32" s="29" t="n"/>
      <c r="F32" s="29" t="n"/>
      <c r="G32" s="29" t="n"/>
      <c r="H32" s="29" t="n"/>
      <c r="I32" s="29" t="n"/>
    </row>
    <row r="33">
      <c r="A33" s="26" t="inlineStr">
        <is>
          <t>デビューまでの仕事・アルバイト</t>
        </is>
      </c>
      <c r="B33" s="12" t="inlineStr">
        <is>
          <t>15 歳の夏（2008 年）、メイフィールドの近所の青果店で自転車の配達をした。時給 6 ユーロほどで、土曜の朝 7 時から箱を坂の上の家々へ運び、重い箱ほど先に下ろす段取りを覚えた。工科カレッジ時代（2011〜2015 年）は週末に市内のパブで演奏の音響を手伝い、1 晩 50 ユーロで朝の 2 時までケーブルを巻き、夜は地元のコミュニティラジオで深夜の送出番を無給で務めた。卒業後の 2015〜2016 年はリトル・アイランドの物流倉庫で 22 時から朝 6 時までの夜勤のピッキングを続け、時給 10 ユーロ少しの仕事で夜の体の使い方を覚えた。2016 年秋にトロントへ渡ってからは朝刊の配送バンの運転手になり、午前 1 時に印刷所で積み込んで 6 時までに西側の売店やガソリンスタンドやレイクショア沿いのカフェに配った（1 晩いくらの請負で、凍った冬の朝は手袋の中で指が動かなかった）。配達表に毎晩の到着時刻を書き込む習慣がそのまま『夜の日誌』になり、2018 年夏にハーバーライト FM の夜勤の技術担当に移った。</t>
        </is>
      </c>
      <c r="C33" s="12" t="inlineStr">
        <is>
          <t>16 歳になった 2013 年から、ラウンドヘイの近所のスーパーで土曜の朝 7 時からの品出しをした。時給は 4 ポンドに届かず、棚の列を端からそろえる単調さが嫌いではなかった。大学の 2〜3 年（2016〜2018 年）は学期中の週 2 晩、学部のレーザーカッター室で受付と切断データの確認をし、夏休みはリーズの父の病院の薬剤部で在庫の段ボールを開けてラベルを貼る短期の仕事をした。2018〜2019 年はクラーケンウェルの設計事務所で Part I の実務研修生として働き、年収は 2 万ポンド強。締め切り前は地下の模型室で終電を逃し、1:500 のボリューム模型を一晩で 3 案作る速さを覚えた。2019 年 7 月からはハックニー・ウィックの工房の見習い（日給 90 ポンドから）で、2020 年のロックダウン中は一時帰休で給料の 8 割を受け取りながら夜に曲を作り、2021 年の再開後は集合住宅や設計競技の模型を担当してきた。</t>
        </is>
      </c>
      <c r="D33" s="12" t="inlineStr">
        <is>
          <t>15 歳の夏（2017 年）は高校の同級生 Callie の家の果樹園で 1 週間だけ梨の収穫を手伝い、脚立の上で夜明けの冷たさと手の皮の硬さを覚えた。16 歳（2018 年）からはフッドリバーのダウンタウンのパン屋で週末の朝 5 時から 11 時まで働き、時給は 11 ドル弱で、店主夫婦から生地の発酵を時計ではなく指で確かめることを教わった。高校を出た 2020 年から 2022 年 3 月までは同じ店で朝 4 時半からの仕込みを週 5 日（時給 13 ドル前後）こなし、オンラインの授業は午後に回した。2021 年 1 月に天板で左手の甲を火傷してからは、熱い物を持つ前に必ず声に出して確認する癖がついた。2022 年 4 月から翌年 2 月は函館の朝市で祖母が長く勤めた乾物屋の店番を朝 5 時から昼まで週 6 日（時給 900 円ほど）務め、スルメや昆布の量り売りと観光客への英語の案内を受け持った。そこで、決まった時間に店を開けること自体が誰かへの約束になると知った。</t>
        </is>
      </c>
      <c r="E33" s="12" t="inlineStr">
        <is>
          <t>2015〜2016 年（17〜18 歳）は Sunshine のガソリンスタンドで土曜の朝 6 時から 6 時間のレジ番をし、未成年の時給は 13 ドルほどだった。パイの保温器の補充をしながら、トラックの運転手が毎週同じ時間に同じものを買っていくことを覚えた。2018〜2019 年は西部のショッピングセンターの楽器店で週末だけ働き（時給 23 ドル）、弦の張り替えと試奏の客の相手をしながら、ギターごとの鳴りの違いを毎日聴き比べた。2022〜2023 年は中心街の大手設計事務所の新卒の設計者として、ショッピングセンターの改修と立体駐車場の図面を週 55 時間描き、残業代の出ない月給の重さと、スロープの勾配や床のレベルの数字を体で覚えた。2024 年 3 月に辞めて半年ほど休んだあと、10 月にタヴの親方の紹介で小さな工務店の増築のパースを 1 枚描いたのが、今のフリーランスの始まりになった。</t>
        </is>
      </c>
      <c r="F33" s="12" t="inlineStr">
        <is>
          <t>2014〜2016 年の高校時代は、土曜の朝にサンパウロの父の勤める日系スーパーの総菜売り場で、パック詰めと値札貼りを手伝った（時給は当時の最低賃金ほど）。メルボルンの 1 年目の 2017 年は父の貯金の学費に頼りながら、週末だけ大学の図書館で返却本の棚戻しをした。2018〜2021 年は Carlton のラーメン店で留学生の上限の週 20 時間、厨房の盛り付けとホールを担当し（時給 24 ドルほど）、伝票が鳴る間隔と店員同士の掛け声の掛け合いを覚えた。ロックダウン中の 2020〜2021 年は店が持ち帰りだけになって勤務が週 8 時間に減り、構造の講師の研究で古い社会住宅の図面を CAD で描き起こす仕事を在宅で請けた。2022 年に修士を出て、Collingwood の中規模の設計事務所に入った。</t>
        </is>
      </c>
      <c r="G33" s="12" t="inlineStr">
        <is>
          <t>8 歳から Napier の父の現場で週末に釘拾いと掃除をし、小遣いは 1 日 10 ドルだった。2012〜2016 年は Frankston で週末に父の現場を手伝い、15 歳からは手元として現金で時給 15 ドルほどもらって、木材を運ぶ順番と現場の段取りを覚えた。2017〜2021 年の大学時代は学費の一部を払うため土曜と長期休みに住宅の現場で働き（時給 25 ドル前後）、2021 年に父が腰を痛めると、週末に父の顧客のデッキや戸の仕事を代わりに仕上げた。2022〜2024 年は湾岸の住宅地を回る小さな工務店の大人向けの見習い大工として、Coburg から車で通って朝 7 時から 15 時半まで現場に出て、週 1 日は北部の職業訓練校に通った。給料は同級生の半分以下だったが、2024 年に資格を取るまでに、墨出しと水平と垂直の確かめ方を体に入れた。</t>
        </is>
      </c>
      <c r="H33" s="12" t="inlineStr">
        <is>
          <t>寄宿学校の休みには実家の牧場で子羊の断尾や囲いの掃除を手伝い、給金の代わりに毛刈りの季節の小遣いを父からもらっていた。2013〜2016 年の大学の夏休みは毛刈り隊のルーシー（下働き）として 12 週間南島の牧場を回り、朝 7 時から夕方 5 時まで 2 時間ずつ 4 区切り（ランと呼ぶ）の作業で、床の羊毛を集めて台に広げ、汚れを除いて等級ごとに分けることを覚えた。2017 年はロンドン・ハックニーのパブの厨房で半年、時給 7 ポンドほどで皿洗いと仕込みをし、閉店後の深夜 1 時まで立ち続ける体力と、急かされても手順を崩さないことを身につけた。2018 年 5 月からはペンリンの毛糸店で週 5 日、店の 2 階に住み込みで働き、コーンウォールの漁師の家に伝わるガンジーの編み目の図案を店主から教わった。2019〜2021 年はオタゴの実家で牧場を手伝いながら地域の手芸店で週 3 日働き、2021 年 9 月にペンリンの毛糸店へ戻ったあと、2022 年に独立した。</t>
        </is>
      </c>
      <c r="I33" s="12" t="inlineStr">
        <is>
          <t>5 歳から父の作業場で鉋屑を掃く係をし、10 代の夏休みには幼なじみの家のロブスター漁の小舟で籠に餌を詰める手伝いをして、1 日 20 ポンドほどをもらった。2008 年に学校を出て父の作業場の見習いになり、朝 7 時半から夕方まで板を削り、継ぎ目に麻と油を詰める古い船の直し方を覚えたが、2009 年の不況で注文が半分になった。2010〜2012 年はファルマスの専門学校で舟艇づくりを学びながら、週末はファルマスのパブでグラス集めのアルバイトをした。2012 年からペンリン川沿いのボートヤードで週 5 日、朝 7 時半から午後 4 時まで、楡の板で 6 人漕ぎのギグを新造・修理し、肋材を蒸気で曲げる段取りと、潮の時刻に合わせて船を出し入れする暮らしを身につけた。2020 年春からの一時帰休の間は、借りた納屋で 1 人で小さな手漕ぎ船を作って過ごした。</t>
        </is>
      </c>
    </row>
    <row r="34">
      <c r="A34" s="26" t="inlineStr">
        <is>
          <t>今の仕事と働き方</t>
        </is>
      </c>
      <c r="B34" s="12" t="inlineStr">
        <is>
          <t>ハーバーライト FM の夜勤の技術担当として、火曜から金曜の週 4 日、19 時から翌 3 時まで送出室に座る。送信機の遠隔監視・自動送出の切り替え・無音の警報への対応・機器の修理が仕事で、木曜の深夜 2 時からは自分の番組『Fay’s Road Hours』を生で出す。自動送出に任せられる 0 時から 2 時のあいだに局の古い制作室でスケッチを録り、休憩には『夜の日誌』の 1 行を直す。日曜と月曜は休みで、昼過ぎに起きてから夕方までの 3 時間を自宅の窓際の机での曲作りに充てている。</t>
        </is>
      </c>
      <c r="C34" s="12" t="inlineStr">
        <is>
          <t>ハックニー・ウィックの運河沿いの模型工房で、月曜から金曜の週 5 日、9 時半から 18 時まで働く。いまは集合住宅の 1:200 の模型の主担当で、職人 6 人がレーザーカッターの換気扇の音の中で黙々と手を動かしている。定時のあと 21 時半まで残り、人が帰った作業場で実音を録ったり自分用の部屋の模型を作ったりしてから、自転車で 15 分のレイトンの屋根裏へ 22 時に戻り、2 時まで曲を作る。レーベルの昼の打ち合わせは月 1 回だけ半休を取り、締め切り前の土曜出勤の週は夜行バスの車内を制作の時間に充てる。</t>
        </is>
      </c>
      <c r="D34" s="12" t="inlineStr">
        <is>
          <t>2023 年 3 月から工業地区の卸のベーカリーで配送ドライバーをしていて、月曜から金曜の週 5 日・午前 3 時半に積み込みを始め、市内 20 軒のカフェを回って朝 8 時半〜9 時に戻る（時給 21 ドル）。職場はオーブンの熱と粉の匂いでいつも暖かく、主任パン職人の Marisol たちとはスペイン語と英語の混ざった短いあいさつだけで動く。2026 年 10 月からバンが静かな電気の新車になり、ルート中は鼻歌をスマートフォンの音声メモに吹き込んでいる。昼に 2 時間眠って午後 1 時から 4 時を作曲に当て、レーベルとの打ち合わせは配送明けの朝 9 時だけにしている。</t>
        </is>
      </c>
      <c r="E34" s="12" t="inlineStr">
        <is>
          <t>Footscray の自分の部屋で、小さな工務店向けの増築や住宅の 3D パースを月・火・水・金の 9 時〜17 時に作る。1 枚 400〜900 ドルで、月の稼ぎには波がある。木曜は 15 時半〜18 時に Footscray の地域センターで 8〜12 歳の子どもギター教室を 2 クラス持つ。リハは火曜の夜と土曜の昼で、毎朝 9 時前の 30 分を鼻歌のボイスメモと歌詞の 1 行に使い、パースの書き出しを待つ間にギターを弾く。</t>
        </is>
      </c>
      <c r="F34" s="12" t="inlineStr">
        <is>
          <t>Collingwood の中規模の設計事務所で、木造の中層の社会住宅の住戸の平面と、車いすで使える台所や浴室の詳細を担当している。月曜〜木曜の 8 時半〜18 時の 4 日勤務で、Brunswick から自転車で 25 分。火曜はリハのため 17 時半に事務所を出る。金曜はバンドの日と決めて、午前に次の曲の断面図を描き、午後は録音の整理と配信の事務をする。</t>
        </is>
      </c>
      <c r="G34" s="12" t="inlineStr">
        <is>
          <t>見習いを終えたあとも同じ親方の工務店に残り、湾岸の住宅地でデッキと増築を担当している。月曜〜金曜の 7 時〜15 時半で、渋滞を避けて Coburg を朝 6 時前に出て、6 時半には静かな現場に着く。土曜の昼のリハのため土曜の現場は断り、火曜は 18 時半に工具をバンに積んだまま工場へ直行する。昼休みの 15 分はバンの運転席で練習パッドを叩く。</t>
        </is>
      </c>
      <c r="H34" s="12" t="inlineStr">
        <is>
          <t>ガンジーの受注製作と草木染めの毛糸の販売で暮らし、今は 4 着の注文を抱えている（1 着に 6〜7 週間かかる）。平日は朝 8 時から昼まで台所で毛糸を染めて発送し、ゲシンがボートヤードに出ない木曜と金曜の午後は網小屋で録音する。毎晩 8 時から 10 時まで暖炉の前で編み、週 1 回はそれをそのまま配信にしている。土曜は朝 6 時半にトゥルーロへ出て屋台を立て、昼過ぎまで売りながら合間に 2 人で歌う。</t>
        </is>
      </c>
      <c r="I34" s="12" t="inlineStr">
        <is>
          <t>2025 年からボートヤードの勤務は月曜〜水曜の週 3 日で、朝 7 時半から午後 4 時まで、主にギグと古い木の船の修理を受け持つ。木曜と金曜は午前に個人から頼まれた小さな修理や端材の小物づくりをし、午後は網小屋でアイラと録音する。土曜はアイラの屋台の横でギターを弾き、日曜の朝はギグ漕ぎクラブの練習でペンリン川を漕ぐ。月に 1 度は 5 時間半かけてソルヴァへ帰り、父と作業場を片付ける。</t>
        </is>
      </c>
    </row>
    <row r="35">
      <c r="A35" s="26" t="inlineStr">
        <is>
          <t>仕事が音楽にくれたもの</t>
        </is>
      </c>
      <c r="B35" s="12" t="inlineStr">
        <is>
          <t>送出の仕事で一番恐れるのは無音で、曲が急に途切れない作り方と、どの曲にも薄い地のノイズを敷く癖はここから来ている。配達表と放送日誌に時刻を書き続けた 10 年が、毎曲に 1 つ時刻を入れる歌詞と、イントロで時刻と場所を言う語りになった。午前 3 時の高速の継ぎ目が一定の間隔で鳴る音が、テンポを 92〜104 に保つ体の物差しになっている。</t>
        </is>
      </c>
      <c r="C35" s="12" t="inlineStr">
        <is>
          <t>カッターの刃がグレーボードを抜ける乾いた音、鋼尺を作業台に置く音、紙やすりの 16 分の往復が、そのまま打楽器の音色とシェイカーの揺れになった。レーザーカッターの換気扇のうなりは曲の底に敷く低い持続音の手本で、縮尺を変えて同じ形を作り直す感覚が 16 小節単位で 1 つずつ足し引きする編曲になっている。アラスデアの『急ぐな』は、テンポを上げずに密度で頂点を作る癖として残っている。</t>
        </is>
      </c>
      <c r="D35" s="12" t="inlineStr">
        <is>
          <t>配送ラックを並べるときの車輪の一定の刻みと、20 軒をほぼ同じ間隔で回るルートの周期が、曲の背骨にしている 8 分のアルペジオとまっすぐな 8 ビートの感覚になった。ルート表の時刻・通りの名前・合鍵の数のように、気持ちより物と数字で書く歌詞の癖も仕事から来ている。テンポを決めるときは、84 号線を東へ走りながら窓の外のマイル標識が流れる速さに合わせる。</t>
        </is>
      </c>
      <c r="E35" s="12" t="inlineStr">
        <is>
          <t>パースの書き出しを待つ 20〜40 分が、鼻歌のメロディがいちばん生まれる時間になった。子どもの教室で 3 つのコードと手拍子だけで 1 曲を教えるうちに、カッティングを少ない音に削る癖がついた。立体駐車場の図面で覚えた kerb・ramp・level のような言葉と、ガソリンスタンドのレシートの裏に書く習慣が、歌詞の具体語の元になっている。</t>
        </is>
      </c>
      <c r="F35" s="12" t="inlineStr">
        <is>
          <t>同じ住戸のプランを階ごとに少しずつ変えて積む社会住宅の設計が、2 番で 1 小節だけ変える曲の組み立て方になった。台所に車いすが回れる 1.5 m の円を必ず描くように、ベースラインにも歌のための空きを必ず残す。ラーメン店の厨房の掛け声の掛け合いが、ハモりで短い 1 行を返す感覚のもとになっている。</t>
        </is>
      </c>
      <c r="G35" s="12" t="inlineStr">
        <is>
          <t>釘打ちとビス留めの一定の間隔が、16 分を急がずに刻む体の時計になった。2 回測ってから切る現場の習慣が、テンポを決める前に必ずメトロノームで 2 回確かめるやり方につながっている。デッキの板の間に 5 mm の隙間を残すように、音と音の間にも隙間を残す。</t>
        </is>
      </c>
      <c r="H35" s="12" t="inlineStr">
        <is>
          <t>毛刈り小屋の 2 時間ずつの区切りと編み目を数える習慣から、小節を数えなくても体で曲の長さを測れる。編み針が 1 目ずつ目を移す手の拍はワイパーの往復とほぼ同じ速さで、2 人の曲の 84〜98 BPM の揺れの基準になっている。歌詞の言葉は、毛糸のラベル・染めの材料・編み目の名前（鹿の子・はしご・縄編み）など、仕事の手元から拾われる。</t>
        </is>
      </c>
      <c r="I35" s="12" t="inlineStr">
        <is>
          <t>鉋を引く長い 1 拍と戻す短い 1 拍が、親指で低音弦を弾く指弾きの型の元になった。ギグを漕ぐ掛け声の『引いて・戻して』を 2 拍で数える癖から、8 分音符が少しだけ跳ねる揺れが生まれた。接着剤が乾くのを待ち、潮が満ちるのを待つ時間感覚が、間奏を急いで埋めない余白になっている。</t>
        </is>
      </c>
    </row>
    <row r="36" ht="20" customHeight="1">
      <c r="A36" s="28" t="inlineStr">
        <is>
          <t>■ 楽器と演奏</t>
        </is>
      </c>
      <c r="B36" s="29" t="n"/>
      <c r="C36" s="29" t="n"/>
      <c r="D36" s="29" t="n"/>
      <c r="E36" s="29" t="n"/>
      <c r="F36" s="29" t="n"/>
      <c r="G36" s="29" t="n"/>
      <c r="H36" s="29" t="n"/>
      <c r="I36" s="29" t="n"/>
    </row>
    <row r="37">
      <c r="A37" s="26" t="inlineStr">
        <is>
          <t>使う楽器（メイン）</t>
        </is>
      </c>
      <c r="B37" s="12" t="inlineStr">
        <is>
          <t>ローランド Juno-106（1985 年製・2019 年秋にクイーン・ストリートの中古楽器店で分割払いで購入／壊れていたボイスチップを局の先輩と交換した）、コルグ Poly-800（1980 年代半ば製・15 歳の夏に青果店の配達の貯金でコークの中古品店で買った最初の鍵盤）、ローランド TR-707（1980 年代半ば製・2020 年春にデニースの知人の物置から譲ってもらったドラムマシン）</t>
        </is>
      </c>
      <c r="C37" s="12" t="inlineStr">
        <is>
          <t>1978 年製の Rhodes Mark I Stage 73（2025 年の屋根裏への引っ越しに合わせてウォルサムストウの個人売買で傷だらけのものを 900 ポンドで買い・アラスデアと 2 人で階段を担ぎ上げた）、Roland SP-404MKII（2022 年秋に初めてラジオのゲスト枠に呼ばれた記念に新品で購入・夜行バスの膝の上の相棒）、Novation Launchkey Mini MK3 と Ableton Live（2020 年の一時帰休中に給料の残りで揃えた・25 鍵で鞄に入る）、Zoom H5 フィールドレコーダー（2021 年に工房の実音を録るため中古で購入）</t>
        </is>
      </c>
      <c r="D37" s="12" t="inlineStr">
        <is>
          <t>Roland GAIA SH-01（2010 年発売の 37 鍵シンセ／13 歳の誕生日に父がフッドリバーの質屋で買ってきた中古）、KORG minilogue（2016 年発売の 37 鍵 4 音アナログシンセ／2024 年秋にポートランドの楽器店で中古を配送の給料を貯めて購入）、Squier Classic Vibe '50s Telecaster（2022 年に函館の楽器店で浩平に選んでもらった中古）</t>
        </is>
      </c>
      <c r="E37" s="12" t="inlineStr">
        <is>
          <t>1990 年代前半の日本製フェンダー・ストラトキャスター ST62 3 トーンサンバースト（2019 年に勤め先の楽器店で下取り品を社員割引で購入）、1970 年前後のヤマハ FG-230 赤ラベルの 12 弦アコースティック（2021 年のロックダウン中に個人売買で 450 ドル）、ヤマハ FG700S（2012 年に父が中古で買ってくれた最初のギター・今は教室用）</t>
        </is>
      </c>
      <c r="F37" s="12" t="inlineStr">
        <is>
          <t>1983 年製のフェンダー・ジャパン プレシジョン・ベース PB62 JV シリアル（2019 年にメルボルンの中古楽器店でラーメン店の給料 2 か月分）、ブラジル製の Giannini のエレキベース（14 歳のときサンパウロの楽器店の店主から安く譲られた・メルボルンに持ってきた 1 本目）、短いスケールの Squier Bronco Bass（2023 年のロードトリップ用に中古で）</t>
        </is>
      </c>
      <c r="G37" s="12" t="inlineStr">
        <is>
          <t>1978 年製のラディックのドラムキット 22・13・16 インチ（2019 年に Frankston の個人売買で父と見に行って 900 ドル）、自作のスポッテッドガム材の胴の 14×5.5 インチのスネア（2024 年に現場の余り材で組んだ）、パテ（サモアの木の割れ目太鼓・2018 年に Napier のおじから譲られた）</t>
        </is>
      </c>
      <c r="H37" s="12" t="inlineStr">
        <is>
          <t>1950 年代製の Martin 0-15（オール・マホガニーの小型ギター／2018 年に毛糸店の店主から亡き夫の形見として譲られた）、Yamaha FG700S（2013 年にダニーデンの楽器店で中古で購入／毛刈り隊の旅とフラットのパーティに持ち歩いた）、Hohner Special 20 のハーモニカ（G と D の 2 本／父の車のダッシュボードに入っていたものをもらった）</t>
        </is>
      </c>
      <c r="I37" s="12" t="inlineStr">
        <is>
          <t>1974 年製の Guild D-35（2013 年にファルマスの楽器店で中古で購入／ボートヤードの最初の夏の稼ぎで）、1980 年代製の中古の Yamaha FG シリーズ（2004 年・14 歳でハヴァフォードウェストの楽器店で 60 ポンドで購入／今は変則チューニング専用）、1910 年代の Estey 製の足踏みリードオルガン（ソルヴァ近くの閉じた礼拝堂から譲り受けて網小屋の 2 階に置く）、Eastman MD305 のマンドリン（2017 年にパブのセッションのフィドル弾きから中古で譲ってもらった）</t>
        </is>
      </c>
    </row>
    <row r="38">
      <c r="A38" s="26" t="inlineStr">
        <is>
          <t>ほかに弾ける楽器</t>
        </is>
      </c>
      <c r="B38" s="12" t="inlineStr">
        <is>
          <t>エレキギター（1990 年代のスクワイヤーのストラトキャスター／コナーに借りたまま 8 年）、アップライトピアノ（母に手ほどきを受けて中等学校の音楽室で放課後に独学）、エレキベース（カレッジの実習で録音用に少し）、ティン・ホイッスル（小学校で習った・今はコークの家族の前でだけ吹く）</t>
        </is>
      </c>
      <c r="C38" s="12" t="inlineStr">
        <is>
          <t>Squier のテレキャスター（2021 年にウォルサムストウの中古楽器店で・ハイライフ風の 2 音のリフ専用）、Korg minilogue（2023 年に中古で・丸いサブベースとパッドの下地）、工房の道具（鋼尺・紙やすり・カッティングマット・替え刃のケース）を手で鳴らす、フィルムケースに模型用の砂を詰めた手作りのシェイカー、教会ホールのアップライトピアノ（帰省のたびに礼拝のあとで少しだけ）</t>
        </is>
      </c>
      <c r="D38" s="12" t="inlineStr">
        <is>
          <t>ヤマハのアップライトピアノ（中学の合唱部の練習室で伴奏の代役をした）、グロッケンシュピール（高校のミュージカルの裏方で叩いた）、タンバリンと手拍子（デモの打楽器は自分で録る）、祖父の家にあった古いハーモニカ（函館で 10 歳のころに吹いた）</t>
        </is>
      </c>
      <c r="E38" s="12" t="inlineStr">
        <is>
          <t>ウクレレ（子ども教室で使う）、エレクトリックピアノ（コードを押さえてメロディを探す程度）、エレキベース（デモで仮のラインを弾く程度）、タンバリン、ハーモニカ（C の 1 本だけ）</t>
        </is>
      </c>
      <c r="F38" s="12" t="inlineStr">
        <is>
          <t>鍵盤ハーモニカ（浜松の小学校で習った）、エレクトリックピアノ（アレンジのデモでコードを確かめる）、アコースティックギター、カヴァキーニョ（父のものを少し）、パンデイロ</t>
        </is>
      </c>
      <c r="G38" s="12" t="inlineStr">
        <is>
          <t>カホン（自作）、ウクレレ（教会の集まりで伴奏する程度）、タンバリンとシェイカー、エレキベース（教会の礼拝で代役をする程度）、ピアノ（賛美歌のコードを押さえる程度）</t>
        </is>
      </c>
      <c r="H38" s="12" t="inlineStr">
        <is>
          <t>ウクレレ（地区の学校の音楽の授業で）、ティンホイッスル（パブのセッションで覚えた）、ピアノ（合唱部でアルトの音を取る程度）、足踏みハーモニウム（ゲシンの楽器で持続音だけ）</t>
        </is>
      </c>
      <c r="I38" s="12" t="inlineStr">
        <is>
          <t>アイリッシュ・ブズーキ（セッションで借りて弾く）、ボーラン（セッションで覚えた）、ピアノ（礼拝堂で母の合唱の音取りを手伝う程度）、ハーモニカ（アイラのものを借りて）</t>
        </is>
      </c>
    </row>
    <row r="39">
      <c r="A39" s="26" t="inlineStr">
        <is>
          <t>機材・録音の道具</t>
        </is>
      </c>
      <c r="B39" s="12" t="inlineStr">
        <is>
          <t>15 歳から使っている 4 トラックのカセットレコーダー TASCAM 424 MKIII Portastudio と、2021 年春に局の倉庫から借り出し、2026 年 10 月に正式に譲ってもらった業務用カセットデッキ TASCAM 122MKII が録音の要で、父の 43 本のテープは 122MKII のヘッドの角度を 1 本ずつ合わせてデジタル化した。歌は放送用のダイナミックマイク Shure SM7B を Focusrite Scarlett 2i2 につなぎ、DAW は REAPER。ギターには BOSS CE-2 のコーラスだけを掛け、車内やガーディナーの継ぎ目の音は Zoom H5 で録っている。ライブでは父がタクシーに積んでいた 1980 年代のソニーのラジカセを再生専用に置き、テープの断片をその場で流す。</t>
        </is>
      </c>
      <c r="C39" s="12" t="inlineStr">
        <is>
          <t>制作は MacBook Air（M1・2020 年）と Ableton Live 12 Suite で、最初の曲は 14 歳のときに父のお下がりのノートパソコンと無料の LMMS で作った。オーディオインターフェースは Focusrite Scarlett 2i2（第 3 世代）、息とハミングはクローゼットの服の間に立てた Rode NT1 で録る。テープの揺れとかすかなノイズは XLN Audio の RC-20 Retro Color で足し、夜は首に掛けた Sony MDR-7506 で聴き、屋根裏では小さな IK Multimedia iLoud Micro Monitor を小音量で鳴らす。夜行バスでは MacBook Air と Launchkey Mini と SP-404MKII を膝に載せ、Zoom H5 を窓際に置いてエンジンのうなりを録る。</t>
        </is>
      </c>
      <c r="D39" s="12" t="inlineStr">
        <is>
          <t>録音は Focusrite Scarlett 2i2（第 3 世代）と Audio-Technica AT2020 で、声は自宅の出窓の前に毛布を吊るして録る。DAW は 2022 年に函館で浩平から教わった REAPER で、ミックスの確認は Sony MDR-7506 と配送バンのスピーカーの両方で行う。ギターは Boss DD-8 と Boss RV-6 だけを通し、歪みのペダルは持っていない。歌のメモはスマートフォンの音声メモに日付と日の出時刻を付けて残す。</t>
        </is>
      </c>
      <c r="E39" s="12" t="inlineStr">
        <is>
          <t>アンプは 2018 年に勤め先の楽器店の中古で買った Roland JC-40 で、クリーンとコーラスの広がりが基準。足元は Boss CE-2（1980 年代のコーラス）・MXR Dyna Comp・Boss DD-3 の 3 つだけ。家の録音は Focusrite Scarlett 2i2 と Shure SM58 で Logic Pro に録り、歌はコートの詰まった洋服だんすに頭を入れて録る。鼻歌はスマホのボイスメモに 1 日 3〜10 本ためる。</t>
        </is>
      </c>
      <c r="F39" s="12" t="inlineStr">
        <is>
          <t>弦は La Bella のフラットワウンド 760FS を 1 年以上張り替えずに使う。足元は MXR M87 のコンプと Tech 21 SansAmp Bass Driver DI の 2 つだけで、リハでは Ampeg BA-115、サービスエリアでは電池で鳴る Roland Micro Cube Bass RX を使う。家では Focusrite Scarlett Solo に直接つないで Reaper に録る。断面図は 5 mm 方眼のノートと 0.5 mm のシャープペンで描く。</t>
        </is>
      </c>
      <c r="G39" s="12" t="inlineStr">
        <is>
          <t>シンバルは Zildjian K の 14 インチのハイハットと、教会のおじのお下がりの Paiste 2002 の 20 インチのライド。スティックは Vic Firth 7A のヒッコリーで、ブラシは Vic Firth Heritage Brush。バンドの録音は工場で RØDE NT5 を 2 本オーバーヘッドに、スネアに Shure SM57・キックに AKG D112 を置き、Focusrite Scarlett 18i8 で Reaper に録る。バンには Evans RealFeel の練習パッドと Boss DB-90 のメトロノームを常に積んでいる。</t>
        </is>
      </c>
      <c r="H39" s="12" t="inlineStr">
        <is>
          <t>配信と声のメモは Rode NT-USB 1 本と iPhone の標準の録音アプリ。網小屋ではゲシンが組んだ録音の道具を一緒に使う。ギターの弦は D'Addario EJ16（フォスファーブロンズのライト）で、張り替えは 3〜4 か月に 1 回と遅い。カポは Kyser の古いものを 2 フレットに付けたままにしている。</t>
        </is>
      </c>
      <c r="I39" s="12" t="inlineStr">
        <is>
          <t>網小屋の録音は Focusrite Scarlett 4i4（第 3 世代）と DAW の Reaper を中古のノートパソコンで動かす。マイクは Audio-Technica AT4040 1 本を 2 人で挟んで声を録り、Rode NT5 の 2 本を XY に組んでギターとオルガンを録る。父から譲られた TASCAM 424 MkII のカセット 4 トラックに、ハミングと雨音だけを一度通して戻すこともある。</t>
        </is>
      </c>
    </row>
    <row r="40">
      <c r="A40" s="26" t="inlineStr">
        <is>
          <t>演奏方法・奏法の癖</t>
        </is>
      </c>
      <c r="B40" s="12" t="inlineStr">
        <is>
          <t>パッドは左手で根音と 5 度と 9 度を開いて押さえ、右手は 3 度を上の方にだけ置いて低音域を濁らせない。和音を替えるときは指を半拍遅れて離し、次の和音とわずかに重ねてアタックの遅い音色の切れ目を消し、サビでは左手でフィルターのつまみをゆっくり上げて明るさだけで盛り上げる。アルペジオは 16 分の上下交互を機械に任せ、自分は右手で 2 小節ごとに 1 音だけ和音の構成音を差し替えて動きを作る。ドラムマシンのスネアは 2・4 拍目で数ミリ秒後ろに置き、ハイハットは 8 分で強弱を交互にしてゴーストのような弱い音を混ぜる。父のテープからサンプルを切るときは、声の前後に 0.2 秒ほどヒスを残して切り、頭を少しだけフェードインさせて継ぎ目を聞こえなくする。歌はマイクから拳 1 つの距離で口元を少し斜めに外し、破裂音を息で逃がしながら語るように置く。</t>
        </is>
      </c>
      <c r="C40" s="12" t="inlineStr">
        <is>
          <t>毎晩最初の 10 分は息とハミングだけを録り、波形がゼロを横切る点で 1 拍ずつ切って、頭と尻に数ミリ秒のフェードを付ける。切れ端は半音単位でピッチを変えるが声の芯の太さは補正せず、サンプラーのパッドを右手の指 2 本で叩いて並べ、左手はフィルターのつまみに置いたまま開け閉めする。エレピは左手で根音を抜いた 9th と 11th の和音を押さえ、親指で 3 度を軽く添えて、拍のほんの少し後ろに置く。打鍵は弱めで高音の金属的な響きを出さず、サステインペダルは半分だけ踏んで小節の頭で必ず一度上げる。ドラムはキックだけを格子にきっちり置き、裏打ちのハイハットは 56% 前後のスウィング、リムショットのゴーストノートは強さ 30〜40 で散らし、シェイカーはパッドで手弾きして量子化せず少し遅らせる。ギターはピックを使わず親指と人差し指でつまむように弾き、3 度か 6 度離れた 2 音だけを裏拍に置いて、右手の小指側の手のひらで弦を軽くミュートする。</t>
        </is>
      </c>
      <c r="D40" s="12" t="inlineStr">
        <is>
          <t>シンセは右手でアルペジエーターをラッチして 8 分・上行・ゲート短めに固定し、左手は低い鍵盤でルートを 1 小節に 1 回だけ押さえる。和音は 3 度を上に置いた開いた形で、高い声の帯域をふさがないよう真ん中の 1 オクターブを空けておく。サビの直前で左手をフィルターのつまみに移し、2 小節かけてゆっくり開いてから、サビ頭で一度だけ少し戻すのが癖。サスティンペダルは使わず、音の切れ目はリリースの短さで作る。ギターはピックを浅く持ち、右手の付け根で 2〜3 本の弦を軽くミュートして 16 分の短いカッティングを裏拍寄りに置き、弦は鳴らし切らない。歌いながら弾くときは、歌の子音を拍の頭に置き、鍵盤とギターはわずかに後ろへずらしてぶつからないようにする。</t>
        </is>
      </c>
      <c r="E40" s="12" t="inlineStr">
        <is>
          <t>右手は弦に当てない瞬間も 16 分で上下に振り続け、当てるか空振りするかで刻みを作る。左手は 1〜3 弦の 3 音だけの小さな 7th や 9th の和音を 7〜10 フレットあたりで押さえ、指の力を抜いた瞬間に音を切る左手ミュートでカッティングの跳ねを出す。ピックは 0.6 mm の薄いものを浅く持ち、裏拍のアクセントは手首ではなく肘から少し強く振って出す。歌いながら弾くときは言葉と同じく拍の少し後ろに和音を置き、サビでは 12 弦に持ち替えて開放弦を残したアルペジオで広げる。チューニングは標準でカポはほとんど使わず、左手の人差し指の付け根の傷が目に入ると、急がず 1 拍待つ合図にしている。</t>
        </is>
      </c>
      <c r="F40" s="12" t="inlineStr">
        <is>
          <t>右手は人差し指と中指の 2 本で弾き、親指をピックアップに乗せて、A メロはネック寄りで丸く、サビはブリッジ寄りで硬めにと弾く場所を変える。ブリッジの下に薄いスポンジを挟んで余韻を短くし、右手の小指側で弦に軽く触れるミュートで 16 分の短い音を切る。ゴーストノートは左手の指を弦に乗せただけで弾く詰まった音で入れ、キックと揃えるのはサビだけ、A メロではわざと 1 拍目を外してシンコペーションで入る。サビの直前に 1 オクターブ上へスライドしてから 1 拍目でルートに戻るのが癖で、オクターブと 10 度で跳ねるラインを好む。チューニングは標準で、低い D が要る曲だけ 4 弦を下げる。弾きながらキノの 3 度上を歌うので、ハモりの小節ではベースを 2 分音符に減らして声を守る。</t>
        </is>
      </c>
      <c r="G40" s="12" t="inlineStr">
        <is>
          <t>マッチドグリップで、ハイハットは右手 1 本で 16 分を刻み、拍の最後の 16 分だけ少し強く当てて跳ねを出す。スネアのゴーストノートはスティックの先を 2 cm ほどしか上げずに置き、2 拍 4 拍の本打ちはわずかに後ろに座らせる。キックはかかとを下ろしたまま踏み、ベースと揃えて踏むのはサビだけにする。A メロはスネアの縁を叩くクロススティックで、サビで左足のハイハットを少し開けて広げ、フィルは 1 拍以内に収める。スネアは高めに締め、打面の端に小さく畳んだ布をテープで貼って余韻を短くする。サービスエリアではキックとスネアとハイハットだけにし、静かな曲はブラシで円を描くように擦る。</t>
        </is>
      </c>
      <c r="H40" s="12" t="inlineStr">
        <is>
          <t>ピックは使わず、右手の親指の腹で下へ、人差し指の爪の背で上へ払うやわらかいストロークで、手首ではなく肘から腕全体を揺らして弾く（2023 年の腱鞘炎のあとに手首を守るために変えた）。左手は G・Cadd9・D・Em7 のように薬指と小指を 2 弦と 1 弦の 3 フレットに置いたままの形を好み、セーハの和音はほとんど使わない。カポを 2 フレットか 4 フレットに付けて、自分の声が一番やわらかく鳴る A や B の調に合わせる。言葉の頭を下へのストロークにそろえ、行の終わりは弦を押さえる力をふっと抜いて音を切る。歌は子音を弱く母音を長めに取り、上のハモりは主旋律から 3 度上を平行にたどり、行末の 1 音だけ 6 度に開く癖がある。</t>
        </is>
      </c>
      <c r="I40" s="12" t="inlineStr">
        <is>
          <t>右手は爪を短く切った素手の指弾きで、親指が 6 弦と 4 弦を交互に弾き続け、人差し指と中指で上の 2 弦をつまむ。親指は鉋を引くように 2 拍目と 4 拍目をわずかに長く押し、右の手のひらの側面で低音弦を軽くミュートして、打楽器の代わりにする。チューニングは DADGAD とドロップ D が中心で、開放弦の D と A を鳴らし続けたまま、左手は 2〜3 本の指で中の声部だけを動かす。オルガンは両足でゆっくり均等に踏み、左手で D と A の 5 度を伸ばしたまま、右手で 3 音の和音を声の下に置く（ストップはやわらかい 1 つだけ）。マンドリンはトレモロをほとんど使わず、2 拍目と 4 拍目の短い刻みと、アイラの上ハモと同じ 3 度の重音を細く弾く。歌うときは行末の下ハモを半拍遅れて着地させ、語尾を息で滲ませる。</t>
        </is>
      </c>
    </row>
    <row r="41">
      <c r="A41" s="26" t="inlineStr">
        <is>
          <t>演奏の強み</t>
        </is>
      </c>
      <c r="B41" s="12" t="inlineStr">
        <is>
          <t>音色を作る耳と、和音から和音へ声部を最短で動かすつなぎ方が一番の強み。テンポを体で保つ感覚が強く、バックトラックに合わせて生でパッドを重ねても揺れない。テープの劣化やヒスを『汚れ』ではなく音の温度として扱え、録った素材を曲の地に馴染ませるのがうまい。</t>
        </is>
      </c>
      <c r="C41" s="12" t="inlineStr">
        <is>
          <t>1 拍の息の切れ端を、言葉が無くても気持ちが伝わる長さで切るタイミングの勘。4 時間鳴らしても耳が疲れない密度に、引き算で整えられること。他人のステムから 1 語と 1 つの息を選び出し、元の曲の場面を壊さずに夜の長距離用の道へ組み直すリミックスで一番光る。</t>
        </is>
      </c>
      <c r="D41" s="12" t="inlineStr">
        <is>
          <t>同じアルペジオを 4 分以上揺れずに鳴らし続けられ、テンポ感が体に入っている。フィルターの開け閉めだけで曲の夜明けを作る耳があり、サビの入りの明るさの差がはっきり出る。音色を選ぶのが速く、イントロの 2 小節で朝だと分かる音を見つけるのがうまい。</t>
        </is>
      </c>
      <c r="E41" s="12" t="inlineStr">
        <is>
          <t>歌いながらでも 16 分の刻みが崩れず、声とギターが同じ揺れ方をする。音数の少ないカッティングで隙間を作り、ビアのベースとタヴのハイハットの間に正確に座れる。サービスエリアのように音が返らない屋外でも右手の振りを止めないので、3 人のテンポの芯になる。</t>
        </is>
      </c>
      <c r="F41" s="12" t="inlineStr">
        <is>
          <t>歌うようなベースラインで、曲の骨組みと主旋律の両方を支えられる。指弾きの粒がそろっていて、16 分のシンコペーションでもタヴのキックと噛み合う。弾きながら 3 度上のハモりを正確に歌える。</t>
        </is>
      </c>
      <c r="G41" s="12" t="inlineStr">
        <is>
          <t>テンポが揺れず、急がないのに前へ進むグルーヴ。サビの 1 拍目でベースとキックを合わせる確かさで、3 人の演奏を 1 つにまとめる。叩きながらでも低い声のユニゾンを崩さない。</t>
        </is>
      </c>
      <c r="H41" s="12" t="inlineStr">
        <is>
          <t>メトロノームなしでも 1 曲を通してテンポが揺れず、編みながらでも歌いながらでも同じ揺れを保てる。初めて聴いた旋律に、その場で上のハモりを付けるのが速く正確。</t>
        </is>
      </c>
      <c r="I41" s="12" t="inlineStr">
        <is>
          <t>指弾きの低音の反復を一切崩さずに、その上で下ハモを歌い続けられる。人の旋律の下で、その声が一番よく鳴る内側の和音を探し当てるのが得意。オルガンの持続音で、少人数でも部屋が満ちる厚みを作れる。</t>
        </is>
      </c>
    </row>
    <row r="42">
      <c r="A42" s="26" t="inlineStr">
        <is>
          <t>音と演奏の好み</t>
        </is>
      </c>
      <c r="B42" s="12" t="inlineStr">
        <is>
          <t>アタックの遅い温かいパッドと、ほんの少しピッチの揺れたコーラスの音色が好き。部屋鳴りは小さく乾いた方がよく、歌のガイドは駐車場に停めた車の中で録る（布張りの座席が音を吸うから）。テンポは 92〜104 の歩くより少し速いくらいで、録音は一度カセットに通してから戻す。</t>
        </is>
      </c>
      <c r="C42" s="12" t="inlineStr">
        <is>
          <t>丸くて少し暗い鍵盤の音色と、角の取れた柔らかいキックが好き。テンポは 104〜118 BPM の、急がずに前へ進む帯域。息は 30 cm ほど離れた狭くて響かない場所で録り、ギターはフラット弦でこもった音にする。部屋鳴りよりも、工房や車内の換気扇のような遠くの持続音を背景に敷くほうを好む。</t>
        </is>
      </c>
      <c r="D42" s="12" t="inlineStr">
        <is>
          <t>倍音の多い明るいノコギリ波を少し丸めた音と、短く減衰する高いベルの音が好き。テンポは 110〜116 の前のめりにならない 8 分で、部屋鳴りは少なめの乾いた録り方を好む。ギターは細めの弦を張ったクリーンな音で、ピックは薄いもの。録るのは朝の光が入る午後の早い時間で、夜には録らない。</t>
        </is>
      </c>
      <c r="E42" s="12" t="inlineStr">
        <is>
          <t>ネック側と真ん中のピックアップを混ぜた、少し鼻にかかったクリーンの音が好き。弦は細めの 10〜46 を 2 週間ごとに替え、張って 3 日目くらいの落ち着いたきらめきがいちばん好み。テンポは 112〜120 の昼の速さで、録るときはアンプから 1 m 離して部屋の響きを少し入れる。</t>
        </is>
      </c>
      <c r="F42" s="12" t="inlineStr">
        <is>
          <t>フラットワウンド弦の丸く短い音と、指で弾いたときの木の鳴りが好き。テンポは 116〜124 の跳ねる速さ。アンプのマイクより、ラインで録った芯のある音に部屋の響きを少し混ぜる録り方を好む。</t>
        </is>
      </c>
      <c r="G42" s="12" t="inlineStr">
        <is>
          <t>乾いて短く鳴る木の胴の音と、余韻の少ない締まったスネアが好き。テンポは 112〜118 の、少し後ろに座れる速さ。天井の高い元工場の部屋鳴りを、オーバーヘッドのマイク 2 本で少しだけ録るのが好み。</t>
        </is>
      </c>
      <c r="H42" s="12" t="inlineStr">
        <is>
          <t>マホガニーの小さなギターの、乾いて丸い中音が好き。弦は張り替えたばかりの金属的な鳴りより、少しくすんだ頃の音を好む。テンポは 88〜96 BPM ほどの、歩くより少し速い揺れ。木の床と梁のある部屋で、マイクから 30cm ほど離れて息ごと録られるのが好き。</t>
        </is>
      </c>
      <c r="I42" s="12" t="inlineStr">
        <is>
          <t>乾いた木の胴が深く鳴る、低音の太いギターの音が好き。弦は錆び始めるまで替えず、テンポは 80 BPM 台前半のゆっくりした揺れを好む。録音は網小屋の木の梁と床の響きごと、一発録りで残したい。雨と木の軋みが入っても消さない。</t>
        </is>
      </c>
    </row>
    <row r="43">
      <c r="A43" s="26" t="inlineStr">
        <is>
          <t>演奏の苦手</t>
        </is>
      </c>
      <c r="B43" s="12" t="inlineStr">
        <is>
          <t>速い単音のソロや、楽譜を見てすぐに弾くことは苦手。歌いながら左手で動きの多いベースを弾くと、どちらかが崩れる。</t>
        </is>
      </c>
      <c r="C43" s="12" t="inlineStr">
        <is>
          <t>鍵盤の速いパッセージと楽譜の初見は苦手で、和音は耳と指の形で覚えている。人前での即興は今も緊張し、ライブでは段取りを決めた順番から外れられない。</t>
        </is>
      </c>
      <c r="D43" s="12" t="inlineStr">
        <is>
          <t>両手が別々のリズムで動く速いフレーズと、楽譜の初見は苦手。ギターはセーハの和音と即興のソロがほとんどできない。</t>
        </is>
      </c>
      <c r="E43" s="12" t="inlineStr">
        <is>
          <t>速い単音のギターソロと、歪ませた音で長く伸ばす弾き方が苦手で、ソロの場面はたいていビアのベースに譲る。</t>
        </is>
      </c>
      <c r="F43" s="12" t="inlineStr">
        <is>
          <t>スラップや指板の上の速い早弾きは苦手。和音が複雑な曲では、ハモりに気を取られてベースが平たくなる。</t>
        </is>
      </c>
      <c r="G43" s="12" t="inlineStr">
        <is>
          <t>速いツーバスや、拍子が変わり続ける複雑な曲は苦手。手数の多い派手なフィルを求められると体が固くなる。</t>
        </is>
      </c>
      <c r="H43" s="12" t="inlineStr">
        <is>
          <t>セーハの和音と速い単音のフレーズは苦手で、腱鞘炎以降は長く弾くと手首が痛む。緊張するとテンポを前へ急がせてしまう。</t>
        </is>
      </c>
      <c r="I43" s="12" t="inlineStr">
        <is>
          <t>速い単音のリードやピックでの早弾きは苦手で、人前で主旋律を 1 人で歌うと声が細くなる。放っておくとテンポを遅くしすぎる。</t>
        </is>
      </c>
    </row>
    <row r="44">
      <c r="A44" s="26" t="inlineStr">
        <is>
          <t>音楽の学び方・練習</t>
        </is>
      </c>
      <c r="B44" s="12" t="inlineStr">
        <is>
          <t>楽器は独学で、子どもの頃は母のピアノの横で歌い、父が残したテープや深夜ラジオの曲を耳で拾って弾いてきた。カレッジの音響・メディア技術科で録音とミックスの基礎を学び、今は毎日シフトの前に 30 分、好きな曲の音色を 1 つだけ耳で作り直す。帰りの車では、低い音から 5 音の音階をハミングして声を温めてから眠る。</t>
        </is>
      </c>
      <c r="C44" s="12" t="inlineStr">
        <is>
          <t>8〜9 歳の頃にリーズの教会のピアノ奏者に数か月だけ手ほどきを受けたほかは独学。週に 1 曲、父のハイライフのレコードかシカゴのハウスから 4 小節の和音を耳で取り、エレピで左手の形だけを覚えて自分の曲に移す。毎晩 22 時に録る 10 分の息とハミングが日課で、ファンミの番組の前月には『踊れるか・眠れるか』の 2 択を想定して同じ曲をテンポ違いで 2 本作る。</t>
        </is>
      </c>
      <c r="D44" s="12" t="inlineStr">
        <is>
          <t>ほぼ独学で、父のカセットや好きな曲のシンセのフレーズを耳でコピーして覚えた。コミュニティカレッジのオンラインの音楽理論で和音の名前を整理し、函館では浩平に録音とミックスの基本を教わった。毎日午後 1 時からの最初の 20 分は 8 小節の耳コピ・次の 10 分は合唱部で習った子音の発声練習と決めている。</t>
        </is>
      </c>
      <c r="E44" s="12" t="inlineStr">
        <is>
          <t>2012 年からいとこの部屋で耳コピで覚え、教則本はほとんど使っていない。毎朝メトロノームを 60 に落として 16 分の空振りカッティングを 10 分、そのあと好きな曲を 1 曲だけ耳でコピーする。子どもの教室で教えることが、自分の弾き方を言葉で見直す練習になっている。</t>
        </is>
      </c>
      <c r="F44" s="12" t="inlineStr">
        <is>
          <t>14 歳でサンパウロの楽器店の店主に 1 年間レッスンを受け、あとは父のレコードの耳コピで覚えた。毎晩寝る前に 20 分、メトロノームを 2 拍 4 拍だけ鳴らして指弾きの粒をそろえる。気になったベースラインは、まず方眼ノートに図として写してから弾く。</t>
        </is>
      </c>
      <c r="G44" s="12" t="inlineStr">
        <is>
          <t>8 歳から教会のおじに耳で習い、Frankston の中等学校のステージバンドで初めて楽譜を読んだ。現場の昼休みにバンの中で練習パッドを 15 分、メトロノームを 2 拍 4 拍だけ鳴らして叩く。日曜に教会の若い子に教えることで、自分の基本も毎週見直している。</t>
        </is>
      </c>
      <c r="H44" s="12" t="inlineStr">
        <is>
          <t>独学。父の車のカセットや上級生に借りた CD のハモりを耳でまねて覚え、ギターは寄宿学校で上級生に教わった 3 つのコードから広げた。今は毎朝、染め鍋が温まるまでの 20 分にハミングで音階を上下し、夜は編みながら新しい曲の歌詞を口の中で繰り返す。</t>
        </is>
      </c>
      <c r="I44" s="12" t="inlineStr">
        <is>
          <t>ギターは独学で、父の作業場のレコードを耳で追って変則チューニングと指の型を覚えた。歌は子どもの頃に礼拝堂で母から階名の楽譜（トニック・ソルファ）で音を取ることを教わった。今はボートヤードの昼休みに 15 分ギターを触り、木曜のセッションで新しい伝承曲を 1 曲ずつ覚える。</t>
        </is>
      </c>
    </row>
    <row r="45">
      <c r="A45" s="26" t="inlineStr">
        <is>
          <t>好きなアーティスト（実在）</t>
        </is>
      </c>
      <c r="B45" s="12" t="inlineStr">
        <is>
          <t>The Blue Nile、Leonard Cohen、Bryan Ferry、Depeche Mode、Talk Talk、Kavinsky、Chromatics、The Midnight、The Weeknd</t>
        </is>
      </c>
      <c r="C45" s="12" t="inlineStr">
        <is>
          <t>Burial、Larry Heard、Four Tet、Aphex Twin、Nils Frahm、Ebo Taylor、E.T. Mensah、Floating Points、Caribou</t>
        </is>
      </c>
      <c r="D45" s="12" t="inlineStr">
        <is>
          <t>宇多田ヒカル、Tears for Fears、CHVRCHES、The Postal Service、Kraftwerk、Japanese Breakfast、Carly Rae Jepsen、Robyn、Glen Campbell</t>
        </is>
      </c>
      <c r="E45" s="12" t="inlineStr">
        <is>
          <t>Air Supply、Eraserheads、Steely Dan、Phoenix、Paul Kelly、Mac DeMarco、Rivermaya、Ben&amp;Ben、The Go-Betweens</t>
        </is>
      </c>
      <c r="F45" s="12" t="inlineStr">
        <is>
          <t>Marcos Valle、Mariya Takeuchi、Tatsuro Yamashita、Azymuth、Tim Maia、Jorge Ben Jor、Taeko Ohnuki、Tame Impala、Carol Kaye</t>
        </is>
      </c>
      <c r="G45" s="12" t="inlineStr">
        <is>
          <t>Fat Freddy's Drop、Crowded House、Vulfpeck、Bill Withers、Hiatus Kaiyote、The Black Seeds、Six60、Daryl Hall &amp; John Oates</t>
        </is>
      </c>
      <c r="H45" s="12" t="inlineStr">
        <is>
          <t>Crowded House、The Chills、Gillian Welch、The Unthanks、Tiny Ruins、Marlon Williams、Aldous Harding、Emmylou Harris、The Be Good Tanyas</t>
        </is>
      </c>
      <c r="I45" s="12" t="inlineStr">
        <is>
          <t>John Martyn、Meic Stevens、Nic Jones、Damien Rice、Bert Jansch、Nick Drake、The Waterboys、Cerys Matthews、Martin Carthy</t>
        </is>
      </c>
    </row>
    <row r="46" ht="20" customHeight="1">
      <c r="A46" s="28" t="inlineStr">
        <is>
          <t>■ 好きなもの</t>
        </is>
      </c>
      <c r="B46" s="29" t="n"/>
      <c r="C46" s="29" t="n"/>
      <c r="D46" s="29" t="n"/>
      <c r="E46" s="29" t="n"/>
      <c r="F46" s="29" t="n"/>
      <c r="G46" s="29" t="n"/>
      <c r="H46" s="29" t="n"/>
      <c r="I46" s="29" t="n"/>
    </row>
    <row r="47">
      <c r="A47" s="26" t="inlineStr">
        <is>
          <t>好きなこと</t>
        </is>
      </c>
      <c r="B47" s="12" t="inlineStr">
        <is>
          <t>夜の空いた高速、カセットのラベルを手書きすること、雨上がりのオレンジの街灯、パン屋の一番窯の匂い</t>
        </is>
      </c>
      <c r="C47" s="12" t="inlineStr">
        <is>
          <t>夜行バスの最前列の左の席、カッターの刃を替える瞬間、中庭のある建物の平面図を眺めること、誰もいない日曜の朝の工房</t>
        </is>
      </c>
      <c r="D47" s="12" t="inlineStr">
        <is>
          <t>日の出の 10 分前の空、夜明け前の空いたガソリンスタンド、魔法瓶のココア、道路標識の書体</t>
        </is>
      </c>
      <c r="E47" s="12" t="inlineStr">
        <is>
          <t>ガソリンスタンドのホットパイ、空港線の高架を昼に下から見上げること、いとこの結婚式のカラオケ、0.3 mm のシャープペン</t>
        </is>
      </c>
      <c r="F47" s="12" t="inlineStr">
        <is>
          <t>方眼ノート、他人の家の台所、0.5 mm の芯で引く細い線、長距離バスの窓際の席</t>
        </is>
      </c>
      <c r="G47" s="12" t="inlineStr">
        <is>
          <t>朝 6 時の現場の静けさ、切ったばかりの木材の匂い、父とラグビーを見ること、ドラムのチューニング</t>
        </is>
      </c>
      <c r="H47" s="12" t="inlineStr">
        <is>
          <t>羊毛の脂（ラノリン）の匂い、雨の日の窓辺で編むこと、砂利道を走るタイヤの音、市場が終わったあとの片付け</t>
        </is>
      </c>
      <c r="I47" s="12" t="inlineStr">
        <is>
          <t>朝の満ち潮の音、鉋屑の匂い、ギグ漕ぎの掛け声、雨の日のボートヤードのラジオ</t>
        </is>
      </c>
    </row>
    <row r="48">
      <c r="A48" s="26" t="inlineStr">
        <is>
          <t>好きな言葉</t>
        </is>
      </c>
      <c r="B48" s="12" t="inlineStr">
        <is>
          <t>grand（上等・大丈夫）、the small hours（夜更けの数時間）、go easy（無理するなよ）</t>
        </is>
      </c>
      <c r="C48" s="12" t="inlineStr">
        <is>
          <t>hollow、headroom（余裕・天井の高さ）、Ɛyɛ（大丈夫・いいね〔トウィ語〕）、plan view（真上から見た図）</t>
        </is>
      </c>
      <c r="D48" s="12" t="inlineStr">
        <is>
          <t>first light、したっけ、clear and dry（父の無線の路面状況）、おはよう</t>
        </is>
      </c>
      <c r="E48" s="12" t="inlineStr">
        <is>
          <t>load path（力の流れ）、Sige、halfway、good enough</t>
        </is>
      </c>
      <c r="F48" s="12" t="inlineStr">
        <is>
          <t>habitável（住める）、やらまいか、span（スパン）、saudade</t>
        </is>
      </c>
      <c r="G48" s="12" t="inlineStr">
        <is>
          <t>Sweet as、plumb（垂直）、Faʻafetai、load-bearing（荷重を受ける）</t>
        </is>
      </c>
      <c r="H48" s="12" t="inlineStr">
        <is>
          <t>mend（繕う）、fleece（ひと刈り分の羊毛）、cast on（編み始める）、southerly（南風）</t>
        </is>
      </c>
      <c r="I48" s="12" t="inlineStr">
        <is>
          <t>hiraeth（ウェールズ語で帰れない場所への想い）、cwtch（ウェールズ語で抱きしめること・安心できる場所）、fair wind（順風）</t>
        </is>
      </c>
    </row>
    <row r="49">
      <c r="A49" s="26" t="inlineStr">
        <is>
          <t>好きな色</t>
        </is>
      </c>
      <c r="B49" s="12" t="inlineStr">
        <is>
          <t>ナトリウム灯のオレンジ、瓶の深い緑、夜明け前の紺</t>
        </is>
      </c>
      <c r="C49" s="12" t="inlineStr">
        <is>
          <t>バルサ材の生成り、古い高速の街灯の琥珀色、ケンテ布の深い緑</t>
        </is>
      </c>
      <c r="D49" s="12" t="inlineStr">
        <is>
          <t>夜明け前の群青、除雪車のアンバー、梨の花の白</t>
        </is>
      </c>
      <c r="E49" s="12" t="inlineStr">
        <is>
          <t>道路標識の緑、ガムテープの銀、色あせたオレンジ</t>
        </is>
      </c>
      <c r="F49" s="12" t="inlineStr">
        <is>
          <t>テラコッタ、浜松の団地の階段の水色、ユーカリの灰緑</t>
        </is>
      </c>
      <c r="G49" s="12" t="inlineStr">
        <is>
          <t>未塗装のユーカリ材の赤茶、曇りの日のネイピアの海の灰青、安全ベストのオレンジ</t>
        </is>
      </c>
      <c r="H49" s="12" t="inlineStr">
        <is>
          <t>生成り（未染色の羊毛）、ハリエニシダの黄、濡れたスレートの青灰</t>
        </is>
      </c>
      <c r="I49" s="12" t="inlineStr">
        <is>
          <t>タールの黒、ペンキの剥げた船の緑、霧の朝の白</t>
        </is>
      </c>
    </row>
    <row r="50">
      <c r="A50" s="26" t="inlineStr">
        <is>
          <t>好きな食べ物</t>
        </is>
      </c>
      <c r="B50" s="12" t="inlineStr">
        <is>
          <t>コークのスパイス・ビーフ（クリスマスの塩漬け牛）、母のブラウンブレッド、イネスの店のエッグタルト、深夜営業の中華料理店の炒飯</t>
        </is>
      </c>
      <c r="C50" s="12" t="inlineStr">
        <is>
          <t>母のライトスープとフフ、ケレウェレ（香辛料で揚げたプランテン）、日曜のローストとヨークシャー・プディング、サービスエリアのミルク多めの紅茶</t>
        </is>
      </c>
      <c r="D50" s="12" t="inlineStr">
        <is>
          <t>祖母のイカめし、マリオンベリーのパイ、父が焼く分厚いハッシュブラウン、函館の塩ラーメン</t>
        </is>
      </c>
      <c r="E50" s="12" t="inlineStr">
        <is>
          <t>母のシニガン（タマリンドの酸っぱいスープ）、サービスエリアのミートパイ、ハロハロ、Footscray のバインミー</t>
        </is>
      </c>
      <c r="F50" s="12" t="inlineStr">
        <is>
          <t>ポン・デ・ケージョ、母のブラジル風ヤキソバ（とろみのある餡かけ）、浜松の餃子、フェイジョアーダ</t>
        </is>
      </c>
      <c r="G50" s="12" t="inlineStr">
        <is>
          <t>おばのパルサミ（タロの葉のココナッツクリーム包み）、新聞紙に包んだフィッシュ＆チップス、ホーキーポーキー（ハニカムトフィー入りのアイス）、ミートパイ</t>
        </is>
      </c>
      <c r="H50" s="12" t="inlineStr">
        <is>
          <t>母のやり方のラム肉のロースト、ホーキーポーキー味のアイスクリーム、祖母のオランダ風パンケーキ、コーンウォールのサフランパン</t>
        </is>
      </c>
      <c r="I50" s="12" t="inlineStr">
        <is>
          <t>母のカウル（羊と根菜のウェールズのスープ）、ウェルシュケーキ、焼いた鯖、ラバーブレッド（海藻のペースト）</t>
        </is>
      </c>
    </row>
    <row r="51" ht="20" customHeight="1">
      <c r="A51" s="28" t="inlineStr">
        <is>
          <t>■ 嫌いなもの</t>
        </is>
      </c>
      <c r="B51" s="29" t="n"/>
      <c r="C51" s="29" t="n"/>
      <c r="D51" s="29" t="n"/>
      <c r="E51" s="29" t="n"/>
      <c r="F51" s="29" t="n"/>
      <c r="G51" s="29" t="n"/>
      <c r="H51" s="29" t="n"/>
      <c r="I51" s="29" t="n"/>
    </row>
    <row r="52">
      <c r="A52" s="26" t="inlineStr">
        <is>
          <t>嫌いなこと</t>
        </is>
      </c>
      <c r="B52" s="12" t="inlineStr">
        <is>
          <t>空港の出発ロビー、蛍光灯のちらつき、人の話の途中で携帯を見ること、急かされる打ち合わせ</t>
        </is>
      </c>
      <c r="C52" s="12" t="inlineStr">
        <is>
          <t>打ち合わせ直前に変わる縮尺、スピーカーフォンで話す人、空いた席に荷物を置く人、急かされて引く線</t>
        </is>
      </c>
      <c r="D52" s="12" t="inlineStr">
        <is>
          <t>夜 9 時以降の打ち合わせ、遅刻、霧が晴れない 3 月の朝、「で結局どっちの人なの？」と聞かれること</t>
        </is>
      </c>
      <c r="E52" s="12" t="inlineStr">
        <is>
          <t>ガラス張りの会議室、自分の声の録音を 1 人で聴くこと、意見を急かされること</t>
        </is>
      </c>
      <c r="F52" s="12" t="inlineStr">
        <is>
          <t>議題のない会議、窓のない部屋、大音量の店</t>
        </is>
      </c>
      <c r="G52" s="12" t="inlineStr">
        <is>
          <t>遅刻、図面だけ描いて現場を見ない人、大声で値切る客</t>
        </is>
      </c>
      <c r="H52" s="12" t="inlineStr">
        <is>
          <t>急かされること、手仕事を「ただの趣味」と片付けられること、使い捨てのプラスチック包装</t>
        </is>
      </c>
      <c r="I52" s="12" t="inlineStr">
        <is>
          <t>グラスファイバーの粉、まだ使える船を燃やすこと、細い県道で後ろから煽ってくる車</t>
        </is>
      </c>
    </row>
    <row r="53">
      <c r="A53" s="26" t="inlineStr">
        <is>
          <t>嫌いな言葉</t>
        </is>
      </c>
      <c r="B53" s="12" t="inlineStr">
        <is>
          <t>hustle（もっと稼げ）、content（作品をコンテンツと呼ぶこと）、back home（どっちの家のことか分からなくなる）</t>
        </is>
      </c>
      <c r="C53" s="12" t="inlineStr">
        <is>
          <t>just（『ちょっと作るだけ』と仕事を小さく言う言い方）、hobby、content（作品を『コンテンツ』と呼ぶ言い方）</t>
        </is>
      </c>
      <c r="D53" s="12" t="inlineStr">
        <is>
          <t>Where are you really from?、日本語お上手ですね、どうせ</t>
        </is>
      </c>
      <c r="E53" s="12" t="inlineStr">
        <is>
          <t>deliverables（成果物）、just quickly（ちょっとだけ）、synergy</t>
        </is>
      </c>
      <c r="F53" s="12" t="inlineStr">
        <is>
          <t>exotic、where are you really from、just vibes</t>
        </is>
      </c>
      <c r="G53" s="12" t="inlineStr">
        <is>
          <t>just a tradie（ただの職人）、unskilled、hustle</t>
        </is>
      </c>
      <c r="H53" s="12" t="inlineStr">
        <is>
          <t>“quick fix”（その場しのぎ）、“just a hobby”（ただの趣味）</t>
        </is>
      </c>
      <c r="I53" s="12" t="inlineStr">
        <is>
          <t>“disposable”（使い捨て）、“upgrade”（新品に替えること）</t>
        </is>
      </c>
    </row>
    <row r="54">
      <c r="A54" s="26" t="inlineStr">
        <is>
          <t>嫌いな色</t>
        </is>
      </c>
      <c r="B54" s="12" t="inlineStr">
        <is>
          <t>蛍光灯の青白い白、蛍光のライムグリーン</t>
        </is>
      </c>
      <c r="C54" s="12" t="inlineStr">
        <is>
          <t>蛍光ピンク、ショールームの真っ白</t>
        </is>
      </c>
      <c r="D54" s="12" t="inlineStr">
        <is>
          <t>蛍光ピンク、3 月のポートランドの濁った灰色</t>
        </is>
      </c>
      <c r="E54" s="12" t="inlineStr">
        <is>
          <t>ショールームのような純白、蛍光の黄緑</t>
        </is>
      </c>
      <c r="F54" s="12" t="inlineStr">
        <is>
          <t>蛍光ピンク、光沢のある金色</t>
        </is>
      </c>
      <c r="G54" s="12" t="inlineStr">
        <is>
          <t>光沢のある黒、くすんだ紫</t>
        </is>
      </c>
      <c r="H54" s="12" t="inlineStr">
        <is>
          <t>蛍光ピンク、化学染料の真っ青</t>
        </is>
      </c>
      <c r="I54" s="12" t="inlineStr">
        <is>
          <t>ネオンの緑、光沢のある銀</t>
        </is>
      </c>
    </row>
    <row r="55">
      <c r="A55" s="26" t="inlineStr">
        <is>
          <t>嫌いな食べ物</t>
        </is>
      </c>
      <c r="B55" s="12" t="inlineStr">
        <is>
          <t>甘すぎるコーヒー飲料、メープル味のスナック（同僚が毎年すすめてくる）</t>
        </is>
      </c>
      <c r="C55" s="12" t="inlineStr">
        <is>
          <t>ぬるくなった缶コーヒー、ミント味のお菓子</t>
        </is>
      </c>
      <c r="D55" s="12" t="inlineStr">
        <is>
          <t>冷めたフライドポテト、甘すぎるシリアル</t>
        </is>
      </c>
      <c r="E55" s="12" t="inlineStr">
        <is>
          <t>冷めたフライドポテト、ドリアン</t>
        </is>
      </c>
      <c r="F55" s="12" t="inlineStr">
        <is>
          <t>甘すぎるアイシング、豪州の黒い酵母ペーストの塗りすぎ</t>
        </is>
      </c>
      <c r="G55" s="12" t="inlineStr">
        <is>
          <t>生の玉ねぎ、甘いポップコーン</t>
        </is>
      </c>
      <c r="H55" s="12" t="inlineStr">
        <is>
          <t>缶詰のグリーンピース、甘すぎるファッジ</t>
        </is>
      </c>
      <c r="I55" s="12" t="inlineStr">
        <is>
          <t>スライスされたプロセスチーズ、冷めたチップス</t>
        </is>
      </c>
    </row>
    <row r="56" ht="20" customHeight="1">
      <c r="A56" s="28" t="inlineStr">
        <is>
          <t>■ メモ</t>
        </is>
      </c>
      <c r="B56" s="29" t="n"/>
      <c r="C56" s="29" t="n"/>
      <c r="D56" s="29" t="n"/>
      <c r="E56" s="29" t="n"/>
      <c r="F56" s="29" t="n"/>
      <c r="G56" s="29" t="n"/>
      <c r="H56" s="29" t="n"/>
      <c r="I56" s="29" t="n"/>
    </row>
    <row r="57">
      <c r="A57" s="26" t="inlineStr">
        <is>
          <t>メモ</t>
        </is>
      </c>
      <c r="B57" s="12" t="inlineStr">
        <is>
          <t>アイルランド国籍。カナダ永住権は 2020 年に取得。酒はほとんど飲まず、運転する夜は一切飲まない。</t>
        </is>
      </c>
      <c r="C57" s="12" t="inlineStr">
        <is>
          <t>顔は出さない。うなじの小さな四角のタトゥーと、低くまとめたブレイズが後ろ姿の目印。</t>
        </is>
      </c>
      <c r="D57" s="12" t="inlineStr">
        <is>
          <t>顔は出さない。手はよく日焼けしていて、左手の甲に小さな火傷の跡がある（撮影ではそのまま写す）。</t>
        </is>
      </c>
      <c r="E57" s="12" t="inlineStr">
        <is>
          <t>声の固定はキノ。父のトラックと Hume Freeway がいちばん大きな歌の源。</t>
        </is>
      </c>
      <c r="F57" s="12" t="inlineStr">
        <is>
          <t>曲の骨組みの担当。ハモりは常にキノの 3 度上。浜松の団地とサンパウロの記憶が、移り住む歌の源。</t>
        </is>
      </c>
      <c r="G57" s="12" t="inlineStr">
        <is>
          <t>グルーヴと運転と予算の担当。3 人の中で唯一、実物の片持ちのデッキを施工している。</t>
        </is>
      </c>
      <c r="H57" s="12" t="inlineStr">
        <is>
          <t>デュオの中心。言葉と日々の手触りを持ち込む人。結婚後も姓はレニーのまま。人前で話すのはアイラ。</t>
        </is>
      </c>
      <c r="I57" s="12" t="inlineStr">
        <is>
          <t>曲の骨組みと和音を作る人。ステージではほとんど話さない。</t>
        </is>
      </c>
    </row>
  </sheetData>
  <conditionalFormatting sqref="B2:AC2">
    <cfRule type="cellIs" priority="1" operator="equal" dxfId="0">
      <formula>"提案"</formula>
    </cfRule>
    <cfRule type="cellIs" priority="2" operator="equal" dxfId="1">
      <formula>"採用"</formula>
    </cfRule>
    <cfRule type="cellIs" priority="3" operator="equal" dxfId="2">
      <formula>"保留"</formula>
    </cfRule>
    <cfRule type="cellIs" priority="4" operator="equal" dxfId="3">
      <formula>"却下"</formula>
    </cfRule>
    <cfRule type="cellIs" priority="5" operator="equal" dxfId="4">
      <formula>"反映済み"</formula>
    </cfRule>
  </conditionalFormatting>
  <dataValidations count="2">
    <dataValidation sqref="B9:AC9" showDropDown="0" showInputMessage="0" showErrorMessage="0" allowBlank="1" errorTitle="選べる値" error="一覧から選んでください（空欄も可）" type="list">
      <formula1>"女性,男性,ノンバイナリー"</formula1>
    </dataValidation>
    <dataValidation sqref="B2:AC2" showDropDown="0" showInputMessage="0" showErrorMessage="0" allowBlank="1" errorTitle="選べる値" error="一覧から選んでください（空欄も可）" type="list">
      <formula1>"提案,採用,保留,却下,反映済み"</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B89B72"/>
    <outlinePr summaryBelow="1" summaryRight="1"/>
    <pageSetUpPr/>
  </sheetPr>
  <dimension ref="A1:L8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9" customWidth="1" min="3" max="3"/>
    <col width="10" customWidth="1" min="4" max="4"/>
    <col width="10" customWidth="1" min="5" max="5"/>
    <col width="13" customWidth="1" min="6" max="6"/>
    <col width="26" customWidth="1" min="7" max="7"/>
    <col width="40" customWidth="1" min="8" max="8"/>
    <col width="40" customWidth="1" min="9" max="9"/>
    <col width="40" customWidth="1" min="10" max="10"/>
    <col width="40" customWidth="1" min="11" max="11"/>
    <col width="10" customWidth="1" min="12" max="12"/>
  </cols>
  <sheetData>
    <row r="1" ht="32" customHeight="1">
      <c r="A1" s="19" t="inlineStr">
        <is>
          <t>アーティストID</t>
        </is>
      </c>
      <c r="B1" s="19" t="inlineStr">
        <is>
          <t>メンバーID</t>
        </is>
      </c>
      <c r="C1" s="19" t="inlineStr">
        <is>
          <t>状態</t>
        </is>
      </c>
      <c r="D1" s="19" t="inlineStr">
        <is>
          <t>年齢（から）</t>
        </is>
      </c>
      <c r="E1" s="19" t="inlineStr">
        <is>
          <t>年齢（まで）</t>
        </is>
      </c>
      <c r="F1" s="19" t="inlineStr">
        <is>
          <t>西暦</t>
        </is>
      </c>
      <c r="G1" s="19" t="inlineStr">
        <is>
          <t>場所</t>
        </is>
      </c>
      <c r="H1" s="19" t="inlineStr">
        <is>
          <t>暮らし・学校</t>
        </is>
      </c>
      <c r="I1" s="19" t="inlineStr">
        <is>
          <t>周りにいた人</t>
        </is>
      </c>
      <c r="J1" s="19" t="inlineStr">
        <is>
          <t>出来事</t>
        </is>
      </c>
      <c r="K1" s="19" t="inlineStr">
        <is>
          <t>そのときの気持ち</t>
        </is>
      </c>
      <c r="L1" s="19" t="inlineStr">
        <is>
          <t>歌の種にする</t>
        </is>
      </c>
    </row>
    <row r="2">
      <c r="A2" s="35" t="inlineStr">
        <is>
          <t>declan_fay</t>
        </is>
      </c>
      <c r="B2" s="27" t="inlineStr">
        <is>
          <t>declan</t>
        </is>
      </c>
      <c r="C2" s="13" t="inlineStr">
        <is>
          <t>採用</t>
        </is>
      </c>
      <c r="D2" s="13" t="n">
        <v>0</v>
      </c>
      <c r="E2" s="13" t="n">
        <v>5</v>
      </c>
      <c r="F2" s="12" t="inlineStr">
        <is>
          <t>1993〜1998</t>
        </is>
      </c>
      <c r="G2" s="12" t="inlineStr">
        <is>
          <t>アイルランド・コーク・メイフィールド（市の北側の丘の住宅地）</t>
        </is>
      </c>
      <c r="H2" s="12" t="inlineStr">
        <is>
          <t>坂の途中の 2 階建てテラスハウス。2 階の子ども部屋の窓から、坂の下の街灯の列が見えた。地区の保育園に通う。</t>
        </is>
      </c>
      <c r="I2" s="12" t="inlineStr">
        <is>
          <t>両親・3 歳下の妹シアラ・ブラックプール地区に住む父方の祖父母（モッシーとノラ）</t>
        </is>
      </c>
      <c r="J2" s="12" t="inlineStr">
        <is>
          <t>寝つきが悪く、夜中に窓辺で坂の下の街灯を眺めていた。夜のタクシーの乗務から明け方に帰ってきた父に見つかると、叱られずに膝に乗せられ、一緒に灯りが消えていくのを見た。</t>
        </is>
      </c>
      <c r="K2" s="12" t="inlineStr">
        <is>
          <t>夜は怖くなかった。オレンジの灯りが、一緒に起きている仲間のように見えた。</t>
        </is>
      </c>
      <c r="L2" s="13" t="inlineStr">
        <is>
          <t>○</t>
        </is>
      </c>
    </row>
    <row r="3">
      <c r="A3" s="35" t="inlineStr">
        <is>
          <t>declan_fay</t>
        </is>
      </c>
      <c r="B3" s="27" t="inlineStr">
        <is>
          <t>declan</t>
        </is>
      </c>
      <c r="C3" s="13" t="inlineStr">
        <is>
          <t>採用</t>
        </is>
      </c>
      <c r="D3" s="13" t="n">
        <v>6</v>
      </c>
      <c r="E3" s="13" t="n">
        <v>12</v>
      </c>
      <c r="F3" s="12" t="inlineStr">
        <is>
          <t>1999〜2005</t>
        </is>
      </c>
      <c r="G3" s="12" t="inlineStr">
        <is>
          <t>アイルランド・コーク・メイフィールド（2002 年まで）／ブラックプール（父の死後に移った家）</t>
        </is>
      </c>
      <c r="H3" s="12" t="inlineStr">
        <is>
          <t>地区の男子小学校。成績はふつうで、休み時間は小さなラジオを耳に当てている子だった。</t>
        </is>
      </c>
      <c r="I3" s="12" t="inlineStr">
        <is>
          <t>父ジェラード（夜のタクシー運転手）・母マレード・妹シアラ・祖父モッシー・幼なじみのフィアクラ</t>
        </is>
      </c>
      <c r="J3" s="12" t="inlineStr">
        <is>
          <t>1999 年、6 歳の春、町の公民館の小さな発表会で母のピアノに合わせて歌い、拍手をもらった。ビデオを回していた父が『まるで妖精のようだ』とつぶやいた声が、テープに残っている。非番の金曜の夜には、父が深緑のセダンでサウス・リング・ロードを一周してくれた。車内では、父がタクシーの中で深夜ラジオを録って日付と時刻を手書きしたカセットが流れていた。2002 年 11 月、9 歳のとき、父が乗務の後に心臓発作で亡くなる。翌年、母と妹とブラックプールの小さな家へ移った。</t>
        </is>
      </c>
      <c r="K3" s="12" t="inlineStr">
        <is>
          <t>時間は録って取っておけるものだと知った。何も話さない父の運転の静けさが好きだったぶん、急に途切れた無音がいちばん怖かった。</t>
        </is>
      </c>
      <c r="L3" s="13" t="inlineStr">
        <is>
          <t>○</t>
        </is>
      </c>
    </row>
    <row r="4">
      <c r="A4" s="35" t="inlineStr">
        <is>
          <t>declan_fay</t>
        </is>
      </c>
      <c r="B4" s="27" t="inlineStr">
        <is>
          <t>declan</t>
        </is>
      </c>
      <c r="C4" s="13" t="inlineStr">
        <is>
          <t>採用</t>
        </is>
      </c>
      <c r="D4" s="13" t="n">
        <v>13</v>
      </c>
      <c r="E4" s="13" t="n">
        <v>18</v>
      </c>
      <c r="F4" s="12" t="inlineStr">
        <is>
          <t>2006〜2011</t>
        </is>
      </c>
      <c r="G4" s="12" t="inlineStr">
        <is>
          <t>アイルランド・コーク・メイフィールド</t>
        </is>
      </c>
      <c r="H4" s="12" t="inlineStr">
        <is>
          <t>市の北側の男子中等学校。卒業試験の前の年まで、夜は部屋で音をいじっていた。</t>
        </is>
      </c>
      <c r="I4" s="12" t="inlineStr">
        <is>
          <t>母・妹・録音機材を貸してくれた音楽の先生・フィアクラ・週末に寄る祖父</t>
        </is>
      </c>
      <c r="J4" s="12" t="inlineStr">
        <is>
          <t>15 歳の夏、近所の青果店の配達で貯めたお金で中古のキーボードと 4 トラックのカセットレコーダーを買う。2008 年の不況で母の勤める診療所の時間が減り、家の中が静かになった頃、夜の部屋で一人で多重録音を覚えた。18 歳の秋、映画館の帰り道に聴いたシンセの低音に夢中になる。</t>
        </is>
      </c>
      <c r="K4" s="12" t="inlineStr">
        <is>
          <t>人前で弾くより、録ったものを夜に一人で聴き返す方が自分に合っていると分かった。</t>
        </is>
      </c>
      <c r="L4" s="13" t="inlineStr"/>
    </row>
    <row r="5">
      <c r="A5" s="35" t="inlineStr">
        <is>
          <t>declan_fay</t>
        </is>
      </c>
      <c r="B5" s="27" t="inlineStr">
        <is>
          <t>declan</t>
        </is>
      </c>
      <c r="C5" s="13" t="inlineStr">
        <is>
          <t>採用</t>
        </is>
      </c>
      <c r="D5" s="13" t="n">
        <v>18</v>
      </c>
      <c r="E5" s="13" t="n">
        <v>22</v>
      </c>
      <c r="F5" s="12" t="inlineStr">
        <is>
          <t>2011〜2015</t>
        </is>
      </c>
      <c r="G5" s="12" t="inlineStr">
        <is>
          <t>アイルランド・コーク市内（シャンドン近くの学生向けシェアハウス）</t>
        </is>
      </c>
      <c r="H5" s="12" t="inlineStr">
        <is>
          <t>市内の工科カレッジの音響・メディア技術科（実習の多い学科）。夜は地元のコミュニティラジオで深夜の送出番を手伝った。</t>
        </is>
      </c>
      <c r="I5" s="12" t="inlineStr">
        <is>
          <t>同級生のコナー（のちに先にトロントへ移住）・ラジオ局のボランティア仲間・2013 年に出会った教育学部のニーヴ</t>
        </is>
      </c>
      <c r="J5" s="12" t="inlineStr">
        <is>
          <t>2012 年、祖母ノラが 73 歳で亡くなり、祖父は一人暮らしになった。週末は祖父の家に寄って一緒に紅茶を飲むようになる。ガレージには父の深緑のセダンが布をかけたまま置かれていた。2013 年、学園祭の音響の手伝いでニーヴと出会い、付き合い始めた。</t>
        </is>
      </c>
      <c r="K5" s="12" t="inlineStr">
        <is>
          <t>夜の送出卓の前の静けさが自分の居場所だと思えた。祖父の背中が少し小さくなったことには気づいていた。</t>
        </is>
      </c>
      <c r="L5" s="13" t="inlineStr"/>
    </row>
    <row r="6">
      <c r="A6" s="35" t="inlineStr">
        <is>
          <t>declan_fay</t>
        </is>
      </c>
      <c r="B6" s="27" t="inlineStr">
        <is>
          <t>declan</t>
        </is>
      </c>
      <c r="C6" s="13" t="inlineStr">
        <is>
          <t>採用</t>
        </is>
      </c>
      <c r="D6" s="13" t="n">
        <v>22</v>
      </c>
      <c r="E6" s="13" t="n">
        <v>23</v>
      </c>
      <c r="F6" s="12" t="inlineStr">
        <is>
          <t>2015〜2016</t>
        </is>
      </c>
      <c r="G6" s="12" t="inlineStr">
        <is>
          <t>アイルランド・コーク（実家）／リトル・アイランドの物流倉庫</t>
        </is>
      </c>
      <c r="H6" s="12" t="inlineStr">
        <is>
          <t>卒業しても音響の仕事はほとんど無く、リトル・アイランドの物流倉庫で夜勤。週 1 回のラジオの手伝いだけは続けた。</t>
        </is>
      </c>
      <c r="I6" s="12" t="inlineStr">
        <is>
          <t>母・妹・小学校の臨時教員として働き始めたニーヴ・トロントにいるコナー</t>
        </is>
      </c>
      <c r="J6" s="12" t="inlineStr">
        <is>
          <t>同級生が次々にオーストラリアやカナダへ出ていく中、コナーの『ソファなら空いてる』の一言で、カナダの 2 年間のワーキングホリデーに申し込んだ。2016 年 9 月 14 日、23 歳で出発。ニーヴはコークに残り、遠距離になった。</t>
        </is>
      </c>
      <c r="K6" s="12" t="inlineStr">
        <is>
          <t>逃げるのではなく、試しに行くのだと自分に言い聞かせた。出発ロビーで振り返るたびに母がまだ手を振っていた。</t>
        </is>
      </c>
      <c r="L6" s="13" t="inlineStr">
        <is>
          <t>○</t>
        </is>
      </c>
    </row>
    <row r="7">
      <c r="A7" s="35" t="inlineStr">
        <is>
          <t>declan_fay</t>
        </is>
      </c>
      <c r="B7" s="27" t="inlineStr">
        <is>
          <t>declan</t>
        </is>
      </c>
      <c r="C7" s="13" t="inlineStr">
        <is>
          <t>採用</t>
        </is>
      </c>
      <c r="D7" s="13" t="n">
        <v>23</v>
      </c>
      <c r="E7" s="13" t="n">
        <v>25</v>
      </c>
      <c r="F7" s="12" t="inlineStr">
        <is>
          <t>2016〜2018</t>
        </is>
      </c>
      <c r="G7" s="12" t="inlineStr">
        <is>
          <t>カナダ・トロント・パークデール（ジェイムソン・アベニュー近くのシェアハウスの半地下）</t>
        </is>
      </c>
      <c r="H7" s="12" t="inlineStr">
        <is>
          <t>朝刊の配送バンの運転手。午前 1 時に印刷所で積み込み、西側の売店・ガソリンスタンド・レイクショア沿いのカフェに 6 時までに朝刊を配った。週末は倉庫の手伝い。</t>
        </is>
      </c>
      <c r="I7" s="12" t="inlineStr">
        <is>
          <t>コナー・配送仲間のジョエル（フィリピン出身）・朝刊を届けていたパン屋の見習いのイネス（数回話しただけ）・遠距離のニーヴ</t>
        </is>
      </c>
      <c r="J7" s="12" t="inlineStr">
        <is>
          <t>5 時間の時差で、彼の午前 3 時は彼女の朝 8 時。空のガーディナーを走りながら、登校前の彼女と毎日電話した。2018 年 4 月、ニーヴがコークで正規の教員の職を得て、自分はトロントに残ると決め、電話で静かに別れた。</t>
        </is>
      </c>
      <c r="K7" s="12" t="inlineStr">
        <is>
          <t>誰も悪くなかった。二人ともそれぞれの場所を選んだだけだと分かっていたから、かえって言葉が少なかった。</t>
        </is>
      </c>
      <c r="L7" s="13" t="inlineStr">
        <is>
          <t>○</t>
        </is>
      </c>
    </row>
    <row r="8">
      <c r="A8" s="35" t="inlineStr">
        <is>
          <t>declan_fay</t>
        </is>
      </c>
      <c r="B8" s="27" t="inlineStr">
        <is>
          <t>declan</t>
        </is>
      </c>
      <c r="C8" s="13" t="inlineStr">
        <is>
          <t>採用</t>
        </is>
      </c>
      <c r="D8" s="13" t="n">
        <v>25</v>
      </c>
      <c r="E8" s="13" t="n">
        <v>27</v>
      </c>
      <c r="F8" s="12" t="inlineStr">
        <is>
          <t>2018〜2020</t>
        </is>
      </c>
      <c r="G8" s="12" t="inlineStr">
        <is>
          <t>カナダ・トロント・パークデール／イーストエンドのコミュニティ FM 局（架空：ハーバーライト FM）</t>
        </is>
      </c>
      <c r="H8" s="12" t="inlineStr">
        <is>
          <t>2018 年夏、若手専門職枠の就労許可に切り替え、湖に近いコミュニティ FM 局の夜勤の技術担当になる。19 時から 3 時まで送出と送信機を見張り、帰りにガーディナーを西へ走る。</t>
        </is>
      </c>
      <c r="I8" s="12" t="inlineStr">
        <is>
          <t>局の朝番組のプロデューサー・デニース・局長・コナー</t>
        </is>
      </c>
      <c r="J8" s="12" t="inlineStr">
        <is>
          <t>2020 年春、街が止まり、車のほとんどいない夜の高速を毎晩走った。局の古い制作室で、送出の空き時間にシンセのスケッチを録り始める。2020 年 10 月に永住権が下りた。</t>
        </is>
      </c>
      <c r="K8" s="12" t="inlineStr">
        <is>
          <t>誰もいない街で働き続けることで、自分の夜が誰かの夜を支えていると初めて感じた。</t>
        </is>
      </c>
      <c r="L8" s="13" t="inlineStr">
        <is>
          <t>○</t>
        </is>
      </c>
    </row>
    <row r="9">
      <c r="A9" s="35" t="inlineStr">
        <is>
          <t>declan_fay</t>
        </is>
      </c>
      <c r="B9" s="27" t="inlineStr">
        <is>
          <t>declan</t>
        </is>
      </c>
      <c r="C9" s="13" t="inlineStr">
        <is>
          <t>採用</t>
        </is>
      </c>
      <c r="D9" s="13" t="n">
        <v>28</v>
      </c>
      <c r="E9" s="13" t="n">
        <v>28</v>
      </c>
      <c r="F9" s="12" t="inlineStr">
        <is>
          <t>2021</t>
        </is>
      </c>
      <c r="G9" s="12" t="inlineStr">
        <is>
          <t>カナダ・トロント（局の駐車場）／アイルランド・コーク（画面越し）</t>
        </is>
      </c>
      <c r="H9" s="12" t="inlineStr">
        <is>
          <t>夜勤を続けながら、自宅で本格的に曲を作り始めた頃。</t>
        </is>
      </c>
      <c r="I9" s="12" t="inlineStr">
        <is>
          <t>祖父モッシー・母マレード・妹シアラ・デニース</t>
        </is>
      </c>
      <c r="J9" s="12" t="inlineStr">
        <is>
          <t>2021 年 2 月、祖父が 84 歳で亡くなる。移動の制限で帰れず、トロントの朝 5 時（コークの朝 10 時）に局の駐車場の車の中で葬儀の配信を見た。4 月、祖父のガレージを片付けた母から靴箱が届いた。父が残した手書きラベルのカセット 43 本と、深緑のセダンのキーが入っていて、1 本目の頭に父の『Hold on now, lad, I'm recording this』という声が残っていた。10 月、深夜番組『Fay’s Road Hours』を始める。</t>
        </is>
      </c>
      <c r="K9" s="12" t="inlineStr">
        <is>
          <t>19 年ぶりに父の声を聴いた。悲しみより、祖父がずっと黙って取っておいてくれたことの重さが残った。</t>
        </is>
      </c>
      <c r="L9" s="13" t="inlineStr">
        <is>
          <t>○</t>
        </is>
      </c>
    </row>
    <row r="10">
      <c r="A10" s="35" t="inlineStr">
        <is>
          <t>declan_fay</t>
        </is>
      </c>
      <c r="B10" s="27" t="inlineStr">
        <is>
          <t>declan</t>
        </is>
      </c>
      <c r="C10" s="13" t="inlineStr">
        <is>
          <t>採用</t>
        </is>
      </c>
      <c r="D10" s="13" t="n">
        <v>29</v>
      </c>
      <c r="E10" s="13" t="n">
        <v>30</v>
      </c>
      <c r="F10" s="12" t="inlineStr">
        <is>
          <t>2022〜2023</t>
        </is>
      </c>
      <c r="G10" s="12" t="inlineStr">
        <is>
          <t>カナダ・トロント・パークデール／アイルランド・コーク（帰省）</t>
        </is>
      </c>
      <c r="H10" s="12" t="inlineStr">
        <is>
          <t>局の夜勤と深夜番組を続けながら、カセットを自主制作した。</t>
        </is>
      </c>
      <c r="I10" s="12" t="inlineStr">
        <is>
          <t>母・妹・レコード店の店主・番組のリスナー・イネス</t>
        </is>
      </c>
      <c r="J10" s="12" t="inlineStr">
        <is>
          <t>2022 年春、番組のリスナーから『夜の癒やし担当＝Fay』と呼ばれるようになる。夏に 2 年半ぶりに帰省し、売りに出す前の祖父の家を片付け、父の深緑のセダンは直して乗りたいという近所の若い整備士に譲った。母が DVD に移しておいた 1999 年の発表会のビデオを一緒に見て、父の『まるで妖精のようだ』という声を 20 年ぶりに聴き、リスナーのあだ名と重なった。夜は母の運転でサウス・リング・ロードを一周し、母は何も言わずに父と同じ車線を走った。2023 年春、番組に『朝刊を置いていってた人？ その声、知ってる』というメッセージが届き、送り主は朝 4 時の出勤中に番組を聴いていたイネスだった。</t>
        </is>
      </c>
      <c r="K10" s="12" t="inlineStr">
        <is>
          <t>家が無くなっても道は残ると思えた。父がくれた呼び名を、知らない人たちがもう一度くれたことが不思議に嬉しかった。</t>
        </is>
      </c>
      <c r="L10" s="13" t="inlineStr">
        <is>
          <t>○</t>
        </is>
      </c>
    </row>
    <row r="11">
      <c r="A11" s="35" t="inlineStr">
        <is>
          <t>declan_fay</t>
        </is>
      </c>
      <c r="B11" s="27" t="inlineStr">
        <is>
          <t>declan</t>
        </is>
      </c>
      <c r="C11" s="13" t="inlineStr">
        <is>
          <t>採用</t>
        </is>
      </c>
      <c r="D11" s="13" t="n">
        <v>31</v>
      </c>
      <c r="E11" s="13" t="n">
        <v>32</v>
      </c>
      <c r="F11" s="12" t="inlineStr">
        <is>
          <t>2024〜2025</t>
        </is>
      </c>
      <c r="G11" s="12" t="inlineStr">
        <is>
          <t>カナダ・トロント・ジャンクション地区のバー／パークデール／アイルランド・コーク</t>
        </is>
      </c>
      <c r="H11" s="12" t="inlineStr">
        <is>
          <t>週 4 日の夜勤、月 1 回のバーの枠、休みの午後に曲作り。</t>
        </is>
      </c>
      <c r="I11" s="12" t="inlineStr">
        <is>
          <t>イネス・バーの店主マルタ・妹シアラと生まれたばかりの甥ロリー</t>
        </is>
      </c>
      <c r="J11" s="12" t="inlineStr">
        <is>
          <t>2024 年 1 月からバーで月 1 回演奏するようになる。4 月に甥のロリーが生まれ、画面越しに初めて会った。2025 年 7 月、コークで 1 回だけ演奏。9 月、イネスとパークデールのヴィクトリア朝の家の 2 階に移り、一緒に暮らし始めた。</t>
        </is>
      </c>
      <c r="K11" s="12" t="inlineStr">
        <is>
          <t>人前に立つのは今も怖いが、逆光の中なら歌えると分かった。家族の時間に画面越しでしか加われないことには、まだ慣れない。</t>
        </is>
      </c>
      <c r="L11" s="13" t="inlineStr">
        <is>
          <t>○</t>
        </is>
      </c>
    </row>
    <row r="12">
      <c r="A12" s="35" t="inlineStr">
        <is>
          <t>declan_fay</t>
        </is>
      </c>
      <c r="B12" s="27" t="inlineStr">
        <is>
          <t>declan</t>
        </is>
      </c>
      <c r="C12" s="13" t="inlineStr">
        <is>
          <t>採用</t>
        </is>
      </c>
      <c r="D12" s="13" t="n">
        <v>33</v>
      </c>
      <c r="E12" s="13" t="n">
        <v>33</v>
      </c>
      <c r="F12" s="12" t="inlineStr">
        <is>
          <t>2026</t>
        </is>
      </c>
      <c r="G12" s="12" t="inlineStr">
        <is>
          <t>カナダ・トロント・パークデール</t>
        </is>
      </c>
      <c r="H12" s="12" t="inlineStr">
        <is>
          <t>南向きの出窓からガーディナーの街灯が見える部屋。昼に眠り、午後に起き、夜に働く。</t>
        </is>
      </c>
      <c r="I12" s="12" t="inlineStr">
        <is>
          <t>イネス・デニース・コナー・コークの家族</t>
        </is>
      </c>
      <c r="J12" s="12" t="inlineStr">
        <is>
          <t>9 月 14 日でトロント 10 年。大人になってからの年数は、コークよりトロントの方が長くなった。父のテープ 43 本のデジタル化を終え、DistroKid で最初のシングルを出すと決めた。</t>
        </is>
      </c>
      <c r="K12" s="12" t="inlineStr">
        <is>
          <t>どちらが本当の家かを決めなくていいと、やっと思えるようになった。</t>
        </is>
      </c>
      <c r="L12" s="13" t="inlineStr">
        <is>
          <t>○</t>
        </is>
      </c>
    </row>
    <row r="13">
      <c r="A13" s="35" t="inlineStr">
        <is>
          <t>declan_fay</t>
        </is>
      </c>
      <c r="B13" s="27" t="inlineStr">
        <is>
          <t>declan</t>
        </is>
      </c>
      <c r="C13" s="13" t="inlineStr">
        <is>
          <t>採用</t>
        </is>
      </c>
      <c r="D13" s="13" t="n">
        <v>34</v>
      </c>
      <c r="E13" s="13" t="n">
        <v>35</v>
      </c>
      <c r="F13" s="12" t="inlineStr">
        <is>
          <t>2027〜2028</t>
        </is>
      </c>
      <c r="G13" s="12" t="inlineStr">
        <is>
          <t>カナダ・トロント／アイルランド・コーク</t>
        </is>
      </c>
      <c r="H13" s="12" t="inlineStr">
        <is>
          <t>夜勤を週 3 日に減らし、制作の時間を増やす予定。</t>
        </is>
      </c>
      <c r="I13" s="12" t="inlineStr">
        <is>
          <t>イネス・コークの家族・レーベルのチーム</t>
        </is>
      </c>
      <c r="J13" s="12" t="inlineStr">
        <is>
          <t>（計画）8 曲のアルバムをデジタルと 200 本のカセットで出し、2027 年夏にコークで小さな公演を 1 回開く。深夜番組は続ける。</t>
        </is>
      </c>
      <c r="K13" s="12" t="inlineStr">
        <is>
          <t>父のテープの続きを、自分の声で録り足していくつもりでいる。</t>
        </is>
      </c>
      <c r="L13" s="13" t="inlineStr"/>
    </row>
    <row r="14">
      <c r="A14" s="35" t="inlineStr">
        <is>
          <t>declan_fay</t>
        </is>
      </c>
      <c r="B14" s="27" t="inlineStr">
        <is>
          <t>declan</t>
        </is>
      </c>
      <c r="C14" s="13" t="inlineStr">
        <is>
          <t>採用</t>
        </is>
      </c>
      <c r="D14" s="13" t="n">
        <v>36</v>
      </c>
      <c r="E14" s="13" t="n">
        <v>40</v>
      </c>
      <c r="F14" s="12" t="inlineStr">
        <is>
          <t>2029〜2033</t>
        </is>
      </c>
      <c r="G14" s="12" t="inlineStr">
        <is>
          <t>カナダ・トロント／アイルランド・コーク</t>
        </is>
      </c>
      <c r="H14" s="12" t="inlineStr">
        <is>
          <t>トロントを拠点に、年に 1 回は長めに帰省する暮らしを考えている。</t>
        </is>
      </c>
      <c r="I14" s="12" t="inlineStr">
        <is>
          <t>イネス・甥のロリー</t>
        </is>
      </c>
      <c r="J14" s="12" t="inlineStr">
        <is>
          <t>（計画）父の車と同じ頃の年式の古い車を手に入れ、大きくなったロリーを乗せてコークのサウス・リング・ロードを夜に一周したい。イネスとは、子どもを持つかどうかをゆっくり話している。</t>
        </is>
      </c>
      <c r="K14" s="12" t="inlineStr">
        <is>
          <t>自分が夜にしてもらったことを、次の誰かの夜にしてあげたい。</t>
        </is>
      </c>
      <c r="L14" s="13" t="inlineStr"/>
    </row>
    <row r="15">
      <c r="A15" s="36" t="inlineStr">
        <is>
          <t>hollowplan</t>
        </is>
      </c>
      <c r="B15" s="27" t="inlineStr">
        <is>
          <t>abena</t>
        </is>
      </c>
      <c r="C15" s="13" t="inlineStr">
        <is>
          <t>採用</t>
        </is>
      </c>
      <c r="D15" s="13" t="n">
        <v>0</v>
      </c>
      <c r="E15" s="13" t="n">
        <v>6</v>
      </c>
      <c r="F15" s="12" t="inlineStr">
        <is>
          <t>1997〜2003</t>
        </is>
      </c>
      <c r="G15" s="12" t="inlineStr">
        <is>
          <t>イギリス・ロンドン・サザーク区ペッカム</t>
        </is>
      </c>
      <c r="H15" s="12" t="inlineStr">
        <is>
          <t>公営住宅の 4 階の 2 部屋。近所の保育所から、ナイジェリア系とガーナ系の子が多い公立小学校に 1 年だけ通う。</t>
        </is>
      </c>
      <c r="I15" s="12" t="inlineStr">
        <is>
          <t>薬局で働きながら英国の薬剤師資格を取り直していた父、夜勤の看護師の母、ライ・レーンで美容室を営む叔母エフア、4 歳上のいとこアマ。2000 年に弟コフィが生まれる。</t>
        </is>
      </c>
      <c r="J15" s="12" t="inlineStr">
        <is>
          <t>母の夜勤の日は、叔母の美容室で迎えを待った。フード型ドライヤーの低いうなりと、客同士のトウィ語とファンティ語の早口が子守歌だった。</t>
        </is>
      </c>
      <c r="K15" s="12" t="inlineStr">
        <is>
          <t>同じ音がずっと続く中にいると、守られている感じがした。</t>
        </is>
      </c>
      <c r="L15" s="13" t="inlineStr">
        <is>
          <t>○</t>
        </is>
      </c>
    </row>
    <row r="16">
      <c r="A16" s="36" t="inlineStr">
        <is>
          <t>hollowplan</t>
        </is>
      </c>
      <c r="B16" s="27" t="inlineStr">
        <is>
          <t>abena</t>
        </is>
      </c>
      <c r="C16" s="13" t="inlineStr">
        <is>
          <t>採用</t>
        </is>
      </c>
      <c r="D16" s="13" t="n">
        <v>6</v>
      </c>
      <c r="E16" s="13" t="n">
        <v>10</v>
      </c>
      <c r="F16" s="12" t="inlineStr">
        <is>
          <t>2003〜2007</t>
        </is>
      </c>
      <c r="G16" s="12" t="inlineStr">
        <is>
          <t>イギリス・リーズ・ハーヘルズ</t>
        </is>
      </c>
      <c r="H16" s="12" t="inlineStr">
        <is>
          <t>父がリーズの教育病院の薬剤部に職を得て引っ越し。赤れんがの背中合わせの長屋で、3 方向の壁が隣家とくっついていた。30 以上の言語が飛び交う地元の公立小学校。</t>
        </is>
      </c>
      <c r="I16" s="12" t="inlineStr">
        <is>
          <t>両親、弟、南アジア系とカリブ系の多い近所の子どもたち、日曜のガーナ系メソジスト教会の人々。</t>
        </is>
      </c>
      <c r="J16" s="12" t="inlineStr">
        <is>
          <t>壁が薄く、夜は隣の家のテレビが聞こえた。父の薬局の方眼メモに、理想の家の平面図を描き始める。いつも真ん中に何も描かない四角があった。</t>
        </is>
      </c>
      <c r="K16" s="12" t="inlineStr">
        <is>
          <t>家の中に逃げ場がない窮屈さと、図面の上なら部屋をつくれるという発見。</t>
        </is>
      </c>
      <c r="L16" s="13" t="inlineStr">
        <is>
          <t>○</t>
        </is>
      </c>
    </row>
    <row r="17">
      <c r="A17" s="36" t="inlineStr">
        <is>
          <t>hollowplan</t>
        </is>
      </c>
      <c r="B17" s="27" t="inlineStr">
        <is>
          <t>abena</t>
        </is>
      </c>
      <c r="C17" s="13" t="inlineStr">
        <is>
          <t>採用</t>
        </is>
      </c>
      <c r="D17" s="13" t="n">
        <v>10</v>
      </c>
      <c r="E17" s="13" t="n">
        <v>10</v>
      </c>
      <c r="F17" s="12" t="inlineStr">
        <is>
          <t>2007</t>
        </is>
      </c>
      <c r="G17" s="12" t="inlineStr">
        <is>
          <t>ガーナ・アシャンティ州クマシ（父方の祖母の家）</t>
        </is>
      </c>
      <c r="H17" s="12" t="inlineStr">
        <is>
          <t>夏休みの 4 週間、初めてのガーナ。祖母の家は部屋が四角い中庭を囲む造りで、夜はベランダにござを敷いて寝た。</t>
        </is>
      </c>
      <c r="I17" s="12" t="inlineStr">
        <is>
          <t>父方の祖母アフア（市場で布を売っていた）、叔父たちと十数人のいとこ、毎朝フフをつく近所の女性たち。</t>
        </is>
      </c>
      <c r="J17" s="12" t="inlineStr">
        <is>
          <t>中庭に夕立が降り込み、皆が軒下に寄ってはまた散っていくのを見ていた。祖母がトウィ語で『真ん中はみんなのものだよ』と言った。</t>
        </is>
      </c>
      <c r="K17" s="12" t="inlineStr">
        <is>
          <t>真ん中が空いている家は、誰も追い出さないのだと思った。リーズの家との違いがずっと頭に残った。</t>
        </is>
      </c>
      <c r="L17" s="13" t="inlineStr">
        <is>
          <t>○</t>
        </is>
      </c>
    </row>
    <row r="18">
      <c r="A18" s="36" t="inlineStr">
        <is>
          <t>hollowplan</t>
        </is>
      </c>
      <c r="B18" s="27" t="inlineStr">
        <is>
          <t>abena</t>
        </is>
      </c>
      <c r="C18" s="13" t="inlineStr">
        <is>
          <t>採用</t>
        </is>
      </c>
      <c r="D18" s="13" t="n">
        <v>11</v>
      </c>
      <c r="E18" s="13" t="n">
        <v>18</v>
      </c>
      <c r="F18" s="12" t="inlineStr">
        <is>
          <t>2008〜2015</t>
        </is>
      </c>
      <c r="G18" s="12" t="inlineStr">
        <is>
          <t>イギリス・リーズ北部・ラウンドヘイ（2010 年に二軒長屋へ転居）</t>
        </is>
      </c>
      <c r="H18" s="12" t="inlineStr">
        <is>
          <t>地元の公立総合中等学校とシックスフォーム。数学・物理・美術で A レベル。部屋は 2 階の奥の小部屋。</t>
        </is>
      </c>
      <c r="I18" s="12" t="inlineStr">
        <is>
          <t>両親、弟、ペッカムのいとこアマ、幼なじみのデショーン、レコードを持っていた友人の兄。</t>
        </is>
      </c>
      <c r="J18" s="12" t="inlineStr">
        <is>
          <t>14 歳で父のお下がりのノートパソコンと無料の作曲ソフトを手に入れ、ヘッドホンだけで夜に曲を作り始める。いとこが焼いてくれた南ロンドンの夜の電子音楽の CD と、友人の兄の部屋で聴いた 80 年代のシカゴのハウスに打たれる。医学部に進むための生物をやめて美術を選び、母と 1 か月口をきかなかった。</t>
        </is>
      </c>
      <c r="K18" s="12" t="inlineStr">
        <is>
          <t>親をがっかりさせた後ろめたさと、初めて自分で選んだ手応えが半々だった。</t>
        </is>
      </c>
      <c r="L18" s="13" t="inlineStr">
        <is>
          <t>○</t>
        </is>
      </c>
    </row>
    <row r="19">
      <c r="A19" s="36" t="inlineStr">
        <is>
          <t>hollowplan</t>
        </is>
      </c>
      <c r="B19" s="27" t="inlineStr">
        <is>
          <t>abena</t>
        </is>
      </c>
      <c r="C19" s="13" t="inlineStr">
        <is>
          <t>採用</t>
        </is>
      </c>
      <c r="D19" s="13" t="n">
        <v>18</v>
      </c>
      <c r="E19" s="13" t="n">
        <v>21</v>
      </c>
      <c r="F19" s="12" t="inlineStr">
        <is>
          <t>2015〜2018</t>
        </is>
      </c>
      <c r="G19" s="12" t="inlineStr">
        <is>
          <t>イギリス・シェフィールド・クルックス（学生街のテラスハウス）</t>
        </is>
      </c>
      <c r="H19" s="12" t="inlineStr">
        <is>
          <t>北部の総合大学の建築学科（学部・Part I）。講評会は苦手で、模型工房に入り浸った。</t>
        </is>
      </c>
      <c r="I19" s="12" t="inlineStr">
        <is>
          <t>建築学科の同期ハナ、ウェールズ出身の恋人リース（2016 年から）、工房の技術職員。</t>
        </is>
      </c>
      <c r="J19" s="12" t="inlineStr">
        <is>
          <t>1 年の建築史の講義で『部屋が役に立つのは何も無いところ』という古い言葉に出会う。2017 年 11 月、MDF を急いで切って左手の人差し指を 3 針縫う。夜通し模型を作りながら、言葉の無い音楽ばかり聴いた。</t>
        </is>
      </c>
      <c r="K19" s="12" t="inlineStr">
        <is>
          <t>描くより作るほうが自分の考えに近いと分かった。講評会で言葉が出ない自分の代わりに、手が話してくれた。</t>
        </is>
      </c>
      <c r="L19" s="13" t="inlineStr"/>
    </row>
    <row r="20">
      <c r="A20" s="36" t="inlineStr">
        <is>
          <t>hollowplan</t>
        </is>
      </c>
      <c r="B20" s="27" t="inlineStr">
        <is>
          <t>abena</t>
        </is>
      </c>
      <c r="C20" s="13" t="inlineStr">
        <is>
          <t>採用</t>
        </is>
      </c>
      <c r="D20" s="13" t="n">
        <v>21</v>
      </c>
      <c r="E20" s="13" t="n">
        <v>22</v>
      </c>
      <c r="F20" s="12" t="inlineStr">
        <is>
          <t>2018〜2019</t>
        </is>
      </c>
      <c r="G20" s="12" t="inlineStr">
        <is>
          <t>イギリス・ロンドン・クラーケンウェル（設計事務所）／トッテナムの間借り</t>
        </is>
      </c>
      <c r="H20" s="12" t="inlineStr">
        <is>
          <t>Part I のあとの実務研修。中規模の設計事務所で、ほとんどの時間を地下の模型室で過ごした。</t>
        </is>
      </c>
      <c r="I20" s="12" t="inlineStr">
        <is>
          <t>事務所の模型担当の先輩、遠距離になった恋人リース、ペッカムの叔母一家。</t>
        </is>
      </c>
      <c r="J20" s="12" t="inlineStr">
        <is>
          <t>事務所の誰よりも模型を早く正確に作れた。リースはシェフィールドで Part II に進み、自分は進まないかもしれないと話した頃から電話が短くなって、2019 年春に別れた。</t>
        </is>
      </c>
      <c r="K20" s="12" t="inlineStr">
        <is>
          <t>誰も悪くない別れだった。自分の進む方向が、周りの期待と違うことを初めてはっきり感じた。</t>
        </is>
      </c>
      <c r="L20" s="13" t="inlineStr">
        <is>
          <t>○</t>
        </is>
      </c>
    </row>
    <row r="21">
      <c r="A21" s="36" t="inlineStr">
        <is>
          <t>hollowplan</t>
        </is>
      </c>
      <c r="B21" s="27" t="inlineStr">
        <is>
          <t>abena</t>
        </is>
      </c>
      <c r="C21" s="13" t="inlineStr">
        <is>
          <t>採用</t>
        </is>
      </c>
      <c r="D21" s="13" t="n">
        <v>22</v>
      </c>
      <c r="E21" s="13" t="n">
        <v>22</v>
      </c>
      <c r="F21" s="12" t="inlineStr">
        <is>
          <t>2019</t>
        </is>
      </c>
      <c r="G21" s="12" t="inlineStr">
        <is>
          <t>イギリス・ロンドン・ハックニー・ウィック（運河沿いの建築模型工房）</t>
        </is>
      </c>
      <c r="H21" s="12" t="inlineStr">
        <is>
          <t>7 月、Part II に進まず、建築模型の工房に見習いとして就職。日給制から始めた。</t>
        </is>
      </c>
      <c r="I21" s="12" t="inlineStr">
        <is>
          <t>工房の先輩職人アラスデア（グラスゴー出身）、電話越しの両親。</t>
        </is>
      </c>
      <c r="J21" s="12" t="inlineStr">
        <is>
          <t>両親に電話で伝えた。父は長く黙ったあと『そうか』とだけ言った。母は『じゃあ人形の家を作るのね』と言って、電話を弟に代わった。</t>
        </is>
      </c>
      <c r="K21" s="12" t="inlineStr">
        <is>
          <t>怒りではなく、決めたあとの静けさがあった。認めてもらう前に、手で証明するしかないと思った。</t>
        </is>
      </c>
      <c r="L21" s="13" t="inlineStr">
        <is>
          <t>○</t>
        </is>
      </c>
    </row>
    <row r="22">
      <c r="A22" s="36" t="inlineStr">
        <is>
          <t>hollowplan</t>
        </is>
      </c>
      <c r="B22" s="27" t="inlineStr">
        <is>
          <t>abena</t>
        </is>
      </c>
      <c r="C22" s="13" t="inlineStr">
        <is>
          <t>採用</t>
        </is>
      </c>
      <c r="D22" s="13" t="n">
        <v>22</v>
      </c>
      <c r="E22" s="13" t="n">
        <v>22</v>
      </c>
      <c r="F22" s="12" t="inlineStr">
        <is>
          <t>2019</t>
        </is>
      </c>
      <c r="G22" s="12" t="inlineStr">
        <is>
          <t>ガーナ・クマシ（祖母の葬儀）</t>
        </is>
      </c>
      <c r="H22" s="12" t="inlineStr">
        <is>
          <t>9 月に祖母アフアが 84 歳で亡くなり、12 月の葬儀に家族 4 人で渡航した。</t>
        </is>
      </c>
      <c r="I22" s="12" t="inlineStr">
        <is>
          <t>父、母、弟、クマシの親戚と数百人の弔問客、真鍮の楽隊。</t>
        </is>
      </c>
      <c r="J22" s="12" t="inlineStr">
        <is>
          <t>赤と黒の布をまとった人で中庭が埋まり、楽隊のハイライフが一晩中続いた。人が引いた夜明け、中庭をかかとからつま先で歩いて測った。9 歩と 7 歩。帰りの飛行機でその平面図をスケッチブックに描いた。</t>
        </is>
      </c>
      <c r="K22" s="12" t="inlineStr">
        <is>
          <t>泣けなかったが、数えることが祈りのように感じられた。真ん中の空白を自分の中に持ち帰った気がした。</t>
        </is>
      </c>
      <c r="L22" s="13" t="inlineStr">
        <is>
          <t>○</t>
        </is>
      </c>
    </row>
    <row r="23">
      <c r="A23" s="36" t="inlineStr">
        <is>
          <t>hollowplan</t>
        </is>
      </c>
      <c r="B23" s="27" t="inlineStr">
        <is>
          <t>abena</t>
        </is>
      </c>
      <c r="C23" s="13" t="inlineStr">
        <is>
          <t>採用</t>
        </is>
      </c>
      <c r="D23" s="13" t="n">
        <v>22</v>
      </c>
      <c r="E23" s="13" t="n">
        <v>23</v>
      </c>
      <c r="F23" s="12" t="inlineStr">
        <is>
          <t>2020</t>
        </is>
      </c>
      <c r="G23" s="12" t="inlineStr">
        <is>
          <t>イギリス・ロンドン・レイトン（シェアハウスの 2 階の小部屋）</t>
        </is>
      </c>
      <c r="H23" s="12" t="inlineStr">
        <is>
          <t>2 月にうなじに小さな四角のタトゥーを入れる。3 月からのロックダウンで工房が閉まり、一時帰休。</t>
        </is>
      </c>
      <c r="I23" s="12" t="inlineStr">
        <is>
          <t>同居人 3 人（看護師・料理人・大学院生）、毎週ビデオ通話する家族、オンラインの宅録仲間。</t>
        </is>
      </c>
      <c r="J23" s="12" t="inlineStr">
        <is>
          <t>毎晩 22 時から曲を作った。歌うのは恥ずかしく、自分の息とハミングを録って 1 拍ずつ切ることを始める。5 月から SoundCloud に『Plan 01』から番号順でスケッチを上げた。</t>
        </is>
      </c>
      <c r="K23" s="12" t="inlineStr">
        <is>
          <t>何も進まない日々の中で、夜だけは整っていく感じがした。言葉にしないほうが正直でいられた。</t>
        </is>
      </c>
      <c r="L23" s="13" t="inlineStr">
        <is>
          <t>○</t>
        </is>
      </c>
    </row>
    <row r="24">
      <c r="A24" s="36" t="inlineStr">
        <is>
          <t>hollowplan</t>
        </is>
      </c>
      <c r="B24" s="27" t="inlineStr">
        <is>
          <t>abena</t>
        </is>
      </c>
      <c r="C24" s="13" t="inlineStr">
        <is>
          <t>採用</t>
        </is>
      </c>
      <c r="D24" s="13" t="n">
        <v>24</v>
      </c>
      <c r="E24" s="13" t="n">
        <v>25</v>
      </c>
      <c r="F24" s="12" t="inlineStr">
        <is>
          <t>2021〜2022</t>
        </is>
      </c>
      <c r="G24" s="12" t="inlineStr">
        <is>
          <t>イギリス・ロンドン・ハックニー・ウィック（工房）／レイトン</t>
        </is>
      </c>
      <c r="H24" s="12" t="inlineStr">
        <is>
          <t>工房が再開し、集合住宅や美術館の設計競技の模型を担当。夜は工房で録った実音を曲に使う。</t>
        </is>
      </c>
      <c r="I24" s="12" t="inlineStr">
        <is>
          <t>先輩アラスデア、工房の親方、コミュニティラジオの DJ ファンミ。</t>
        </is>
      </c>
      <c r="J24" s="12" t="inlineStr">
        <is>
          <t>2022 年 3 月下旬、樹脂で一体に流した 1:500 の中庭の模型に、発表前夜にひびが入った。アラスデアと朝 6 時までかけて作り直し、間に合わせた。親方の信頼は残ったが、半年ほど主担当から外れた。その夏、ファンミが深夜の放送で自分の曲をかけた。</t>
        </is>
      </c>
      <c r="K24" s="12" t="inlineStr">
        <is>
          <t>失敗は恥ずかしかったが、徹夜明けの運河の光の中で、間に合わせることも技術だと思えた。</t>
        </is>
      </c>
      <c r="L24" s="13" t="inlineStr">
        <is>
          <t>○</t>
        </is>
      </c>
    </row>
    <row r="25">
      <c r="A25" s="36" t="inlineStr">
        <is>
          <t>hollowplan</t>
        </is>
      </c>
      <c r="B25" s="27" t="inlineStr">
        <is>
          <t>abena</t>
        </is>
      </c>
      <c r="C25" s="13" t="inlineStr">
        <is>
          <t>採用</t>
        </is>
      </c>
      <c r="D25" s="13" t="n">
        <v>26</v>
      </c>
      <c r="E25" s="13" t="n">
        <v>26</v>
      </c>
      <c r="F25" s="12" t="inlineStr">
        <is>
          <t>2023〜2024</t>
        </is>
      </c>
      <c r="G25" s="12" t="inlineStr">
        <is>
          <t>イギリス・ロンドン（ヴィクトリア・コーチステーション）⇄リーズ（M1 を走る夜行の長距離バス）</t>
        </is>
      </c>
      <c r="H25" s="12" t="inlineStr">
        <is>
          <t>12 月に父が胸の痛みで入院し、1 月に心臓のステント治療。2 か月の間、隔週の金曜に 23 時半発の夜行バスでリーズへ通った。</t>
        </is>
      </c>
      <c r="I25" s="12" t="inlineStr">
        <is>
          <t>父、看病で疲れていく母、マンチェスターから駆けつける研修医の弟、車内の見知らぬ乗客たち。</t>
        </is>
      </c>
      <c r="J25" s="12" t="inlineStr">
        <is>
          <t>バスの最前列でヘッドホンをして、エンジンのうなりと 3 時のサービスエリアの蛍光灯の音を録り、その場で曲にした。病室で父が初めて『何を作っているのか聴かせて』と言い、聴き終えて『道の音だな』と言った。</t>
        </is>
      </c>
      <c r="K25" s="12" t="inlineStr">
        <is>
          <t>不安で眠れない 4 時間半を、何もしなくていい区間として受け入れられた。父と初めて同じものを聴いた。</t>
        </is>
      </c>
      <c r="L25" s="13" t="inlineStr">
        <is>
          <t>○</t>
        </is>
      </c>
    </row>
    <row r="26">
      <c r="A26" s="36" t="inlineStr">
        <is>
          <t>hollowplan</t>
        </is>
      </c>
      <c r="B26" s="27" t="inlineStr">
        <is>
          <t>abena</t>
        </is>
      </c>
      <c r="C26" s="13" t="inlineStr">
        <is>
          <t>採用</t>
        </is>
      </c>
      <c r="D26" s="13" t="n">
        <v>27</v>
      </c>
      <c r="E26" s="13" t="n">
        <v>28</v>
      </c>
      <c r="F26" s="12" t="inlineStr">
        <is>
          <t>2024〜2025</t>
        </is>
      </c>
      <c r="G26" s="12" t="inlineStr">
        <is>
          <t>イギリス・ロンドン・レイトン（2025 年から屋根裏の 1 ベッドルーム）</t>
        </is>
      </c>
      <c r="H26" s="12" t="inlineStr">
        <is>
          <t>工房では主担当に戻る。2025 年、初めてのひとり暮らし。北向きの天窓のある屋根裏で、部屋の真ん中に何も置かない。</t>
        </is>
      </c>
      <c r="I26" s="12" t="inlineStr">
        <is>
          <t>2022 年から付き合っていた舞台照明の技術者カラム、ファンミ、弟。</t>
        </is>
      </c>
      <c r="J26" s="12" t="inlineStr">
        <is>
          <t>2024 年 3 月、夜行バスで作った曲を 42 分のミックスにして公開し、聴き手が一気に増えた。カラムとは働く時間帯が逆で、彼がブリストルの劇場に移ることになった 2025 年初め、話し合って別れた。6 月にリーズで初めてのライブ。</t>
        </is>
      </c>
      <c r="K26" s="12" t="inlineStr">
        <is>
          <t>責める相手のいない別れのあと、ひとりの夜の過ごし方を自分で選び直した。寂しさより、余白のほうが大きかった。</t>
        </is>
      </c>
      <c r="L26" s="13" t="inlineStr">
        <is>
          <t>○</t>
        </is>
      </c>
    </row>
    <row r="27">
      <c r="A27" s="36" t="inlineStr">
        <is>
          <t>hollowplan</t>
        </is>
      </c>
      <c r="B27" s="27" t="inlineStr">
        <is>
          <t>abena</t>
        </is>
      </c>
      <c r="C27" s="13" t="inlineStr">
        <is>
          <t>採用</t>
        </is>
      </c>
      <c r="D27" s="13" t="n">
        <v>29</v>
      </c>
      <c r="E27" s="13" t="n">
        <v>29</v>
      </c>
      <c r="F27" s="12" t="inlineStr">
        <is>
          <t>2026</t>
        </is>
      </c>
      <c r="G27" s="12" t="inlineStr">
        <is>
          <t>イギリス・ロンドン・レイトン／ハックニー・ウィック</t>
        </is>
      </c>
      <c r="H27" s="12" t="inlineStr">
        <is>
          <t>工房で働きながら、レーベルの所属アーティストとして配信デビューを準備。5 週に 1 回、他の 4 組の曲をリミックスする役目を引き受けた。</t>
        </is>
      </c>
      <c r="I27" s="12" t="inlineStr">
        <is>
          <t>レーベルの人たち、素材を通して知り合う他の 4 組、ファンミ、退職した母。</t>
        </is>
      </c>
      <c r="J27" s="12" t="inlineStr">
        <is>
          <t>8 月、クマシの祖母の家の中庭に屋根をかけて改修すると叔父から知らされる。9 月、母が英国で 34 年の看護師勤めを終えて退職し、教会ホールでの会に夜行バスで帰った。</t>
        </is>
      </c>
      <c r="K27" s="12" t="inlineStr">
        <is>
          <t>残っていた真ん中が変わっていく寂しさと、自分の音の中に中庭を残せばいいという落ち着きが同居している。</t>
        </is>
      </c>
      <c r="L27" s="13" t="inlineStr">
        <is>
          <t>○</t>
        </is>
      </c>
    </row>
    <row r="28">
      <c r="A28" s="36" t="inlineStr">
        <is>
          <t>hollowplan</t>
        </is>
      </c>
      <c r="B28" s="27" t="inlineStr">
        <is>
          <t>abena</t>
        </is>
      </c>
      <c r="C28" s="13" t="inlineStr">
        <is>
          <t>採用</t>
        </is>
      </c>
      <c r="D28" s="13" t="n">
        <v>30</v>
      </c>
      <c r="E28" s="13" t="n">
        <v>30</v>
      </c>
      <c r="F28" s="12" t="inlineStr">
        <is>
          <t>2027</t>
        </is>
      </c>
      <c r="G28" s="12" t="inlineStr">
        <is>
          <t>ガーナ・クマシ／イギリス・ロンドン</t>
        </is>
      </c>
      <c r="H28" s="12" t="inlineStr">
        <is>
          <t>（これからの計画）冬休みに弟と 2 人でクマシへ。</t>
        </is>
      </c>
      <c r="I28" s="12" t="inlineStr">
        <is>
          <t>弟コフィ、叔父たち、クマシのいとこ。</t>
        </is>
      </c>
      <c r="J28" s="12" t="inlineStr">
        <is>
          <t>改修前の写真と自分の歩幅の記録をもとに、祖母の家を 1:50 の模型にする。夜行バス 1 本ぶん（約 4 時間半）を途切れずにつなぐ長い作品も出したい。</t>
        </is>
      </c>
      <c r="K28" s="12" t="inlineStr">
        <is>
          <t>失われるものを惜しむより、形にして手元に置いておきたい。</t>
        </is>
      </c>
      <c r="L28" s="13" t="inlineStr"/>
    </row>
    <row r="29">
      <c r="A29" s="36" t="inlineStr">
        <is>
          <t>hollowplan</t>
        </is>
      </c>
      <c r="B29" s="27" t="inlineStr">
        <is>
          <t>abena</t>
        </is>
      </c>
      <c r="C29" s="13" t="inlineStr">
        <is>
          <t>採用</t>
        </is>
      </c>
      <c r="D29" s="13" t="n">
        <v>31</v>
      </c>
      <c r="E29" s="13" t="n">
        <v>33</v>
      </c>
      <c r="F29" s="12" t="inlineStr">
        <is>
          <t>2028〜2030</t>
        </is>
      </c>
      <c r="G29" s="12" t="inlineStr">
        <is>
          <t>イギリス・ロンドン東部</t>
        </is>
      </c>
      <c r="H29" s="12" t="inlineStr">
        <is>
          <t>（これからの計画）工房の仕事を続けながら、週 1 日は自分の小さな作業場で模型と音を同時に作る。</t>
        </is>
      </c>
      <c r="I29" s="12" t="inlineStr">
        <is>
          <t>工房の仲間、レーベルの 4 組、ファンミ。</t>
        </is>
      </c>
      <c r="J29" s="12" t="inlineStr">
        <is>
          <t>他の組の曲をつなぎ直した長距離用の連作を毎年 1 本出す。リーズとロンドンの間を走る夜の道を、レーベルの『帰り道』にしたい。</t>
        </is>
      </c>
      <c r="K29" s="12" t="inlineStr">
        <is>
          <t>急がず、真ん中を空けたまま続けたい。</t>
        </is>
      </c>
      <c r="L29" s="13" t="inlineStr"/>
    </row>
    <row r="30">
      <c r="A30" s="37" t="inlineStr">
        <is>
          <t>nao_easterly</t>
        </is>
      </c>
      <c r="B30" s="27" t="inlineStr">
        <is>
          <t>nao</t>
        </is>
      </c>
      <c r="C30" s="13" t="inlineStr">
        <is>
          <t>採用</t>
        </is>
      </c>
      <c r="D30" s="13" t="n">
        <v>0</v>
      </c>
      <c r="E30" s="13" t="n">
        <v>5</v>
      </c>
      <c r="F30" s="12" t="inlineStr">
        <is>
          <t>2002〜2007</t>
        </is>
      </c>
      <c r="G30" s="12" t="inlineStr">
        <is>
          <t>米国オレゴン州フッドリバー郡オデル（果樹園に囲まれた平屋）</t>
        </is>
      </c>
      <c r="H30" s="12" t="inlineStr">
        <is>
          <t>梨とリンゴの果樹園の間の平屋で、母とは日本語・父とは英語で育つ。4 歳からオデルの小さな保育園に通い、迎えはいつも早番明けの父だった。</t>
        </is>
      </c>
      <c r="I30" s="12" t="inlineStr">
        <is>
          <t>父 Dale・母 由紀・2006 年に生まれた弟 Ken・近所の果樹園の家族</t>
        </is>
      </c>
      <c r="J30" s="12" t="inlineStr">
        <is>
          <t>2002 年 3 月 20 日の春分、太陽が真東から昇る日に生まれる。4 歳の冬（2006〜07 年）から、父が休みの朝に近所の果樹園の農道や長い私道を雪かきする古いピックアップ（前に排雪板を付けた除雪用のトラック）の助手席に乗せてもらうようになる。仕事で走る州の大きな除雪車には乗れないので、これが父と 2 人だけの朝だった。魔法瓶のココアを膝に挟み、東の丘の上が群青から橙に変わるのを見ていた。</t>
        </is>
      </c>
      <c r="K30" s="12" t="inlineStr">
        <is>
          <t>世界でまだ自分と父しか起きていない気がして誇らしかった。夜明けは、起きていた人へのごほうびだと思った。</t>
        </is>
      </c>
      <c r="L30" s="13" t="inlineStr">
        <is>
          <t>○</t>
        </is>
      </c>
    </row>
    <row r="31">
      <c r="A31" s="37" t="inlineStr">
        <is>
          <t>nao_easterly</t>
        </is>
      </c>
      <c r="B31" s="27" t="inlineStr">
        <is>
          <t>nao</t>
        </is>
      </c>
      <c r="C31" s="13" t="inlineStr">
        <is>
          <t>採用</t>
        </is>
      </c>
      <c r="D31" s="13" t="n">
        <v>6</v>
      </c>
      <c r="E31" s="13" t="n">
        <v>9</v>
      </c>
      <c r="F31" s="12" t="inlineStr">
        <is>
          <t>2008〜2011</t>
        </is>
      </c>
      <c r="G31" s="12" t="inlineStr">
        <is>
          <t>米国オレゴン州オデル（学期中）／北海道函館市西部地区（毎年 6〜7 月）</t>
        </is>
      </c>
      <c r="H31" s="12" t="inlineStr">
        <is>
          <t>オデルの公立小学校（全校 300 人ほど・果樹園で働く家の子が多い）に通い、毎年 6 月から 7 月は母と函館の祖父母の家へ。その間は坂の上の古い市立小学校に体験入学した。</t>
        </is>
      </c>
      <c r="I31" s="12" t="inlineStr">
        <is>
          <t>函館の祖父 勝男・祖母 フミ・体験入学のクラスの子どもたち（のちの幼なじみ 美咲）・オデルの同級生</t>
        </is>
      </c>
      <c r="J31" s="12" t="inlineStr">
        <is>
          <t>函館では「アメリカの子」、オデルでは「日本の子」と呼ばれた。祖父は漁から戻った朝に彼女を岸壁へ連れて行き、新聞で翌朝の日の出時刻を確かめる習慣を教えた。2010 年、祖父は年齢とイカがとれなくなったことを理由に船を降りた。</t>
        </is>
      </c>
      <c r="K31" s="12" t="inlineStr">
        <is>
          <t>どちらに行っても少しだけお客さんだった。それでも夏の朝の港と冬の朝の農道は、どちらも自分の場所だと感じていた。</t>
        </is>
      </c>
      <c r="L31" s="13" t="inlineStr">
        <is>
          <t>○</t>
        </is>
      </c>
    </row>
    <row r="32">
      <c r="A32" s="37" t="inlineStr">
        <is>
          <t>nao_easterly</t>
        </is>
      </c>
      <c r="B32" s="27" t="inlineStr">
        <is>
          <t>nao</t>
        </is>
      </c>
      <c r="C32" s="13" t="inlineStr">
        <is>
          <t>採用</t>
        </is>
      </c>
      <c r="D32" s="13" t="n">
        <v>10</v>
      </c>
      <c r="E32" s="13" t="n">
        <v>11</v>
      </c>
      <c r="F32" s="12" t="inlineStr">
        <is>
          <t>2012〜2014</t>
        </is>
      </c>
      <c r="G32" s="12" t="inlineStr">
        <is>
          <t>北海道函館市西部地区（弥生町の祖父母の家）</t>
        </is>
      </c>
      <c r="H32" s="12" t="inlineStr">
        <is>
          <t>祖母が軽い脳梗塞で倒れ、リハビリを手伝うため母と弟と 3 人で 2 年間函館に住む。市立小学校の 5〜6 年生として通い、父はオレゴンに残って働いた。</t>
        </is>
      </c>
      <c r="I32" s="12" t="inlineStr">
        <is>
          <t>祖母 フミ・祖父 勝男・母・弟 Ken・クラスの友達 美咲・電話の向こうの父</t>
        </is>
      </c>
      <c r="J32" s="12" t="inlineStr">
        <is>
          <t>父は毎朝、出勤前の 5 時（函館の夜 9〜10 時）に電話をくれた。父の「おはよう」を聞いてから寝る暮らしの中で、日の出の時刻と天気と 1 行を書く「日の出ノート」を始めた。祖母は左手に少ししびれが残ったが、1 年で朝市の店に戻った。</t>
        </is>
      </c>
      <c r="K32" s="12" t="inlineStr">
        <is>
          <t>父の朝と自分の夜が電話でつながっているのが不思議で、少しさみしかった。時差を数えることが、家族の距離を測る方法になった。</t>
        </is>
      </c>
      <c r="L32" s="13" t="inlineStr">
        <is>
          <t>○</t>
        </is>
      </c>
    </row>
    <row r="33">
      <c r="A33" s="37" t="inlineStr">
        <is>
          <t>nao_easterly</t>
        </is>
      </c>
      <c r="B33" s="27" t="inlineStr">
        <is>
          <t>nao</t>
        </is>
      </c>
      <c r="C33" s="13" t="inlineStr">
        <is>
          <t>採用</t>
        </is>
      </c>
      <c r="D33" s="13" t="n">
        <v>12</v>
      </c>
      <c r="E33" s="13" t="n">
        <v>15</v>
      </c>
      <c r="F33" s="12" t="inlineStr">
        <is>
          <t>2014〜2017</t>
        </is>
      </c>
      <c r="G33" s="12" t="inlineStr">
        <is>
          <t>米国オレゴン州フッドリバー（オデルの実家から通学）</t>
        </is>
      </c>
      <c r="H33" s="12" t="inlineStr">
        <is>
          <t>フッドリバーの公立中学校へ。2 年間の日本暮らしで英語の読み書きが遅れ、放課後は図書館の補習に通った。合唱部に入る。</t>
        </is>
      </c>
      <c r="I33" s="12" t="inlineStr">
        <is>
          <t>合唱部の顧問（音程より子音の発音に厳しい先生）・高校まで一緒の Callie・家族</t>
        </is>
      </c>
      <c r="J33" s="12" t="inlineStr">
        <is>
          <t>13 歳の誕生日に、父が質屋で 37 鍵の中古シンセを買ってきた。8 分のアルペジオを鳴らし、その上で鼻歌を重ねるのが放課後の日課になる。合唱部では「言葉がいちばん遠くまで届く声」と言われた。</t>
        </is>
      </c>
      <c r="K33" s="12" t="inlineStr">
        <is>
          <t>遅れを取り戻すのに必死だったが、シンセの前では言葉を気にせずに歌えた。</t>
        </is>
      </c>
      <c r="L33" s="13" t="inlineStr"/>
    </row>
    <row r="34">
      <c r="A34" s="37" t="inlineStr">
        <is>
          <t>nao_easterly</t>
        </is>
      </c>
      <c r="B34" s="27" t="inlineStr">
        <is>
          <t>nao</t>
        </is>
      </c>
      <c r="C34" s="13" t="inlineStr">
        <is>
          <t>採用</t>
        </is>
      </c>
      <c r="D34" s="13" t="n">
        <v>15</v>
      </c>
      <c r="E34" s="13" t="n">
        <v>18</v>
      </c>
      <c r="F34" s="12" t="inlineStr">
        <is>
          <t>2017〜2020</t>
        </is>
      </c>
      <c r="G34" s="12" t="inlineStr">
        <is>
          <t>米国オレゴン州フッドリバー（コロンビア川沿いの公立高校）</t>
        </is>
      </c>
      <c r="H34" s="12" t="inlineStr">
        <is>
          <t>川沿いの公立高校に通い、16 歳から週末の朝 5 時にダウンタウンのパン屋で働く。合唱と学校のミュージカルの裏方。</t>
        </is>
      </c>
      <c r="I34" s="12" t="inlineStr">
        <is>
          <t>パン屋の店主夫婦・同級生の Callie・ウインドサーフィンをする同級生の恋人 Jake</t>
        </is>
      </c>
      <c r="J34" s="12" t="inlineStr">
        <is>
          <t>高校 3 年の春、パンデミックで授業がオンラインになり、卒業式は学校の駐車場を車で 1 台ずつ回るパレードになった。夏、コロラドの大学へ行く Jake と、距離を理由に穏やかに別れた。</t>
        </is>
      </c>
      <c r="K34" s="12" t="inlineStr">
        <is>
          <t>車の窓越しに手を振って終わった高校時代が、少し可笑しくて少しさみしかった。</t>
        </is>
      </c>
      <c r="L34" s="13" t="inlineStr">
        <is>
          <t>○</t>
        </is>
      </c>
    </row>
    <row r="35">
      <c r="A35" s="37" t="inlineStr">
        <is>
          <t>nao_easterly</t>
        </is>
      </c>
      <c r="B35" s="27" t="inlineStr">
        <is>
          <t>nao</t>
        </is>
      </c>
      <c r="C35" s="13" t="inlineStr">
        <is>
          <t>採用</t>
        </is>
      </c>
      <c r="D35" s="13" t="n">
        <v>18</v>
      </c>
      <c r="E35" s="13" t="n">
        <v>19</v>
      </c>
      <c r="F35" s="12" t="inlineStr">
        <is>
          <t>2020〜2022</t>
        </is>
      </c>
      <c r="G35" s="12" t="inlineStr">
        <is>
          <t>米国オレゴン州フッドリバー（実家の子ども部屋）</t>
        </is>
      </c>
      <c r="H35" s="12" t="inlineStr">
        <is>
          <t>地元のコミュニティカレッジの授業（音楽理論と簿記）をオンラインで受けながら、パン屋で朝 4 時半からの仕込みを週 5 日。午後に子ども部屋のノートパソコンで歌を録り始めるが、誰にも聴かせなかった。</t>
        </is>
      </c>
      <c r="I35" s="12" t="inlineStr">
        <is>
          <t>パン屋の店主夫婦・両親・オンライン授業の講師</t>
        </is>
      </c>
      <c r="J35" s="12" t="inlineStr">
        <is>
          <t>2021 年 1 月、オーブンの天板で左手の甲を火傷し、跡が残る。2022 年 3 月、函館の祖父が 79 歳で亡くなる。葬儀には間に合わず、母と 2 人で四十九日の法要に向かった。</t>
        </is>
      </c>
      <c r="K35" s="12" t="inlineStr">
        <is>
          <t>毎日同じ時間に起きることで、先の見えない時期をなんとか越えた。録った歌を祖父に一度も聴かせなかったことを後悔した。</t>
        </is>
      </c>
      <c r="L35" s="13" t="inlineStr">
        <is>
          <t>○</t>
        </is>
      </c>
    </row>
    <row r="36">
      <c r="A36" s="37" t="inlineStr">
        <is>
          <t>nao_easterly</t>
        </is>
      </c>
      <c r="B36" s="27" t="inlineStr">
        <is>
          <t>nao</t>
        </is>
      </c>
      <c r="C36" s="13" t="inlineStr">
        <is>
          <t>採用</t>
        </is>
      </c>
      <c r="D36" s="13" t="n">
        <v>20</v>
      </c>
      <c r="E36" s="13" t="n">
        <v>20</v>
      </c>
      <c r="F36" s="12" t="inlineStr">
        <is>
          <t>2022〜2023</t>
        </is>
      </c>
      <c r="G36" s="12" t="inlineStr">
        <is>
          <t>北海道函館市西部地区（弥生町の祖母の家）</t>
        </is>
      </c>
      <c r="H36" s="12" t="inlineStr">
        <is>
          <t>2022 年 4 月から翌年 2 月まで祖母と 2 人で暮らす。祖母が長く勤めた朝市の乾物屋で朝 5 時からの店番をし、月 1 回、大門の小さなライブバーのオープンマイクに出た。</t>
        </is>
      </c>
      <c r="I36" s="12" t="inlineStr">
        <is>
          <t>祖母 フミ・乾物屋のおかみさん・幼なじみの 美咲・ライブバーで会ったギタリストの 浩平</t>
        </is>
      </c>
      <c r="J36" s="12" t="inlineStr">
        <is>
          <t>初めて人前で自作曲を歌う。客は 15〜20 人。浩平から宅録とミックスの基本を教わる。ある夜明け前、祖母と港まで歩き、沖からまだ灯りをつけたまま戻ってくるイカ釣り船が明るくなる空に溶けていくのを見た。</t>
        </is>
      </c>
      <c r="K36" s="12" t="inlineStr">
        <is>
          <t>「おはよう」と「good morning」のあいだに自分の声があると分かった。帰るとき、祖母を一人にするのがつらかった。</t>
        </is>
      </c>
      <c r="L36" s="13" t="inlineStr">
        <is>
          <t>○</t>
        </is>
      </c>
    </row>
    <row r="37">
      <c r="A37" s="37" t="inlineStr">
        <is>
          <t>nao_easterly</t>
        </is>
      </c>
      <c r="B37" s="27" t="inlineStr">
        <is>
          <t>nao</t>
        </is>
      </c>
      <c r="C37" s="13" t="inlineStr">
        <is>
          <t>採用</t>
        </is>
      </c>
      <c r="D37" s="13" t="n">
        <v>21</v>
      </c>
      <c r="E37" s="13" t="n">
        <v>22</v>
      </c>
      <c r="F37" s="12" t="inlineStr">
        <is>
          <t>2023〜2024</t>
        </is>
      </c>
      <c r="G37" s="12" t="inlineStr">
        <is>
          <t>米国オレゴン州ポートランド北東部ハリウッド地区</t>
        </is>
      </c>
      <c r="H37" s="12" t="inlineStr">
        <is>
          <t>2023 年 3 月末にポートランドへ。工業地区の卸のベーカリーで配送ドライバーになり、午前 3 時半から市内 20 軒のカフェにパンを届ける。東向きの出窓のある 1 寝室のアパートで一人暮らし。</t>
        </is>
      </c>
      <c r="I37" s="12" t="inlineStr">
        <is>
          <t>主任パン職人の Marisol・配送先のカフェの店主たち・夜勤の救急看護師の恋人 Theo（28）</t>
        </is>
      </c>
      <c r="J37" s="12" t="inlineStr">
        <is>
          <t>2023 年 9 月、朝 7 時のガソリンスタンドで Theo と知り合い付き合う。同じ年の 11 月から配送中の日の出の動画を投稿し始める。2024 年 3 月、22 歳を前に日本の国籍をどうするかの届けを書いたが、出さずに引き出しにしまった。2 人の休みが重なるのは隔週の日曜の朝だけで、そのたびに彼は眠そうだった。2024 年 10 月に話し合って別れた。</t>
        </is>
      </c>
      <c r="K37" s="12" t="inlineStr">
        <is>
          <t>どちらが悪いのでもなく、2 人の朝と夜が重ならなかっただけだと思えた。どちらかを選ぶ書類より、両方の朝を持っている自分のほうが本当だと感じた。</t>
        </is>
      </c>
      <c r="L37" s="13" t="inlineStr">
        <is>
          <t>○</t>
        </is>
      </c>
    </row>
    <row r="38">
      <c r="A38" s="37" t="inlineStr">
        <is>
          <t>nao_easterly</t>
        </is>
      </c>
      <c r="B38" s="27" t="inlineStr">
        <is>
          <t>nao</t>
        </is>
      </c>
      <c r="C38" s="13" t="inlineStr">
        <is>
          <t>採用</t>
        </is>
      </c>
      <c r="D38" s="13" t="n">
        <v>22</v>
      </c>
      <c r="E38" s="13" t="n">
        <v>24</v>
      </c>
      <c r="F38" s="12" t="inlineStr">
        <is>
          <t>2025〜2026</t>
        </is>
      </c>
      <c r="G38" s="12" t="inlineStr">
        <is>
          <t>米国オレゴン州ポートランド北東部ハリウッド地区／フッドリバー（隔週）</t>
        </is>
      </c>
      <c r="H38" s="12" t="inlineStr">
        <is>
          <t>配送の仕事を続けながら、午後 1 時から 4 時を作曲の時間にする。隔週の日曜は、夜明けに 84 号線を東へ走って実家へ帰る。</t>
        </is>
      </c>
      <c r="I38" s="12" t="inlineStr">
        <is>
          <t>両親・弟 Ken・Marisol・コミュニティ FM の早朝番組の DJ・レーベルの制作チーム</t>
        </is>
      </c>
      <c r="J38" s="12" t="inlineStr">
        <is>
          <t>2025 年 2 月、デモが地元のコミュニティ FM でかかる。同年 8 月、父が膝の手術を受け、冬の除雪には復帰できた。2026 年 3 月 20 日の誕生日に日の出の車内ライブを配信し、5 月にレーベルから連絡が来る。9 月、父がこの冬を最後に除雪の仕事を引退すると話した。</t>
        </is>
      </c>
      <c r="K38" s="12" t="inlineStr">
        <is>
          <t>自分の歌がようやく生活の外に届き始めたうれしさと、父の最後の冬に間に合いたいという焦りが半分ずつ。</t>
        </is>
      </c>
      <c r="L38" s="13" t="inlineStr">
        <is>
          <t>○</t>
        </is>
      </c>
    </row>
    <row r="39">
      <c r="A39" s="37" t="inlineStr">
        <is>
          <t>nao_easterly</t>
        </is>
      </c>
      <c r="B39" s="27" t="inlineStr">
        <is>
          <t>nao</t>
        </is>
      </c>
      <c r="C39" s="13" t="inlineStr">
        <is>
          <t>採用</t>
        </is>
      </c>
      <c r="D39" s="13" t="n">
        <v>25</v>
      </c>
      <c r="E39" s="13" t="n">
        <v>25</v>
      </c>
      <c r="F39" s="12" t="inlineStr">
        <is>
          <t>2027</t>
        </is>
      </c>
      <c r="G39" s="12" t="inlineStr">
        <is>
          <t>北海道（函館市から根室市の納沙布岬まで）</t>
        </is>
      </c>
      <c r="H39" s="12" t="inlineStr">
        <is>
          <t>（予定）春、引退した父と 2 人で函館から東へ北海道を車で横断する。</t>
        </is>
      </c>
      <c r="I39" s="12" t="inlineStr">
        <is>
          <t>父・祖母 フミ・伯父 誠</t>
        </is>
      </c>
      <c r="J39" s="12" t="inlineStr">
        <is>
          <t>（予定）本土でいちばん東の納沙布岬で日の出を見る。道中で書いた曲を 1 枚目のアルバム（10 曲・全部朝の曲）にまとめる。</t>
        </is>
      </c>
      <c r="K39" s="12" t="inlineStr">
        <is>
          <t>（予定）今度は父が助手席に座る番。自分がハンドルを握って、父に夜明けを見せたい。</t>
        </is>
      </c>
      <c r="L39" s="13" t="inlineStr">
        <is>
          <t>○</t>
        </is>
      </c>
    </row>
    <row r="40">
      <c r="A40" s="37" t="inlineStr">
        <is>
          <t>nao_easterly</t>
        </is>
      </c>
      <c r="B40" s="27" t="inlineStr">
        <is>
          <t>nao</t>
        </is>
      </c>
      <c r="C40" s="13" t="inlineStr">
        <is>
          <t>採用</t>
        </is>
      </c>
      <c r="D40" s="13" t="n">
        <v>26</v>
      </c>
      <c r="E40" s="13" t="n">
        <v>28</v>
      </c>
      <c r="F40" s="12" t="inlineStr">
        <is>
          <t>2028〜2030</t>
        </is>
      </c>
      <c r="G40" s="12" t="inlineStr">
        <is>
          <t>米国オレゴン州ポートランド／北海道札幌市・函館市</t>
        </is>
      </c>
      <c r="H40" s="12" t="inlineStr">
        <is>
          <t>（予定）ポートランドを拠点にしたまま、配送の仕事を週 3 日に減らして音楽の時間を増やす。</t>
        </is>
      </c>
      <c r="I40" s="12" t="inlineStr">
        <is>
          <t>レーベルの制作チーム・浩平・函館の祖母</t>
        </is>
      </c>
      <c r="J40" s="12" t="inlineStr">
        <is>
          <t>（予定）札幌と函館の小さな会場で、朝 7 時に始まるライブを開く。祖母を客席に呼ぶのが目標。</t>
        </is>
      </c>
      <c r="K40" s="12" t="inlineStr">
        <is>
          <t>（予定）夜のライブではなく、朝に会える人たちに会いに行きたい。</t>
        </is>
      </c>
      <c r="L40" s="13" t="inlineStr"/>
    </row>
    <row r="41">
      <c r="A41" s="38" t="inlineStr">
        <is>
          <t>soft_cantilever</t>
        </is>
      </c>
      <c r="B41" s="27" t="inlineStr">
        <is>
          <t>kino</t>
        </is>
      </c>
      <c r="C41" s="13" t="inlineStr">
        <is>
          <t>採用</t>
        </is>
      </c>
      <c r="D41" s="13" t="n">
        <v>0</v>
      </c>
      <c r="E41" s="13" t="n">
        <v>5</v>
      </c>
      <c r="F41" s="12" t="inlineStr">
        <is>
          <t>1998〜2003</t>
        </is>
      </c>
      <c r="G41" s="12" t="inlineStr">
        <is>
          <t>オーストラリア・メルボルン・St Albans</t>
        </is>
      </c>
      <c r="H41" s="12" t="inlineStr">
        <is>
          <t>両親と 2 部屋のレンガ造りのユニットで暮らす。母は夜勤、父は工場の交代勤務で、昼は同じ通りのフィリピン系の家に預けられた。</t>
        </is>
      </c>
      <c r="I41" s="12" t="inlineStr">
        <is>
          <t>両親・同じ通りのフィリピン系の家族・日曜の教会の大人たち</t>
        </is>
      </c>
      <c r="J41" s="12" t="inlineStr">
        <is>
          <t>4 歳の誕生日、親戚の家の家庭用カラオケ機で初めて 1 曲歌い切り、おじたちに拍手された。</t>
        </is>
      </c>
      <c r="K41" s="12" t="inlineStr">
        <is>
          <t>歌うと大人たちが笑ってくれる、という最初の記憶。</t>
        </is>
      </c>
      <c r="L41" s="13" t="inlineStr">
        <is>
          <t>○</t>
        </is>
      </c>
    </row>
    <row r="42">
      <c r="A42" s="38" t="inlineStr">
        <is>
          <t>soft_cantilever</t>
        </is>
      </c>
      <c r="B42" s="27" t="inlineStr">
        <is>
          <t>kino</t>
        </is>
      </c>
      <c r="C42" s="13" t="inlineStr">
        <is>
          <t>採用</t>
        </is>
      </c>
      <c r="D42" s="13" t="n">
        <v>6</v>
      </c>
      <c r="E42" s="13" t="n">
        <v>12</v>
      </c>
      <c r="F42" s="12" t="inlineStr">
        <is>
          <t>2004〜2010</t>
        </is>
      </c>
      <c r="G42" s="12" t="inlineStr">
        <is>
          <t>オーストラリア・メルボルン・St Albans</t>
        </is>
      </c>
      <c r="H42" s="12" t="inlineStr">
        <is>
          <t>地元の公立小学校。ベトナム系とフィリピン系とアフリカ系の子が多く、昼休みは校庭の端でカードゲーム。</t>
        </is>
      </c>
      <c r="I42" s="12" t="inlineStr">
        <is>
          <t>妹 Trixie・同じ学校の幼なじみ 2 人・父の工場の同僚たち</t>
        </is>
      </c>
      <c r="J42" s="12" t="inlineStr">
        <is>
          <t>毎年 1 月、家族 4 人でワゴン車に乗り、10 時間かけてシドニーのおばの家へ行った。父は決まって Holbrook のサービスエリアで停まり、公園の潜水艦の前で家族写真を撮った。</t>
        </is>
      </c>
      <c r="K42" s="12" t="inlineStr">
        <is>
          <t>家族がいちばん近いのは、家の中より移動中の車内だと思っていた。</t>
        </is>
      </c>
      <c r="L42" s="13" t="inlineStr">
        <is>
          <t>○</t>
        </is>
      </c>
    </row>
    <row r="43">
      <c r="A43" s="38" t="inlineStr">
        <is>
          <t>soft_cantilever</t>
        </is>
      </c>
      <c r="B43" s="27" t="inlineStr">
        <is>
          <t>kino</t>
        </is>
      </c>
      <c r="C43" s="13" t="inlineStr">
        <is>
          <t>採用</t>
        </is>
      </c>
      <c r="D43" s="13" t="n">
        <v>13</v>
      </c>
      <c r="E43" s="13" t="n">
        <v>18</v>
      </c>
      <c r="F43" s="12" t="inlineStr">
        <is>
          <t>2011〜2016</t>
        </is>
      </c>
      <c r="G43" s="12" t="inlineStr">
        <is>
          <t>オーストラリア・メルボルン・Sunshine</t>
        </is>
      </c>
      <c r="H43" s="12" t="inlineStr">
        <is>
          <t>技術科目に強い公立の中等学校。デザイン製図の授業だけは成績がよく、放課後はいとこの部屋でギターを習った。</t>
        </is>
      </c>
      <c r="I43" s="12" t="inlineStr">
        <is>
          <t>製図の先生・マニラから来たいとこ・バスケ部の友人</t>
        </is>
      </c>
      <c r="J43" s="12" t="inlineStr">
        <is>
          <t>2014 年、父の工場が 2017 年に閉鎖されると発表された。父は台所のカレンダーに『あと 3 年』と書いた。2015 年に祖母がフィリピンから来て同居を始め、製図の先生の勧めで建築を目指すと決めた。</t>
        </is>
      </c>
      <c r="K43" s="12" t="inlineStr">
        <is>
          <t>家が少し狭くなって、父が少し静かになった。自分は『形として残る仕事』をしたいと思った。</t>
        </is>
      </c>
      <c r="L43" s="13" t="inlineStr">
        <is>
          <t>○</t>
        </is>
      </c>
    </row>
    <row r="44">
      <c r="A44" s="38" t="inlineStr">
        <is>
          <t>soft_cantilever</t>
        </is>
      </c>
      <c r="B44" s="27" t="inlineStr">
        <is>
          <t>kino</t>
        </is>
      </c>
      <c r="C44" s="13" t="inlineStr">
        <is>
          <t>採用</t>
        </is>
      </c>
      <c r="D44" s="13" t="n">
        <v>18</v>
      </c>
      <c r="E44" s="13" t="n">
        <v>19</v>
      </c>
      <c r="F44" s="12" t="inlineStr">
        <is>
          <t>2017</t>
        </is>
      </c>
      <c r="G44" s="12" t="inlineStr">
        <is>
          <t>オーストラリア・メルボルン・Parkville（大学）</t>
        </is>
      </c>
      <c r="H44" s="12" t="inlineStr">
        <is>
          <t>総合大学の建築学部 1 年。実家から電車で 40 分通い、製図室に夜 10 時まで残った。</t>
        </is>
      </c>
      <c r="I44" s="12" t="inlineStr">
        <is>
          <t>同じ班のビアとタヴ・構造の講師</t>
        </is>
      </c>
      <c r="J44" s="12" t="inlineStr">
        <is>
          <t>3 月、構造の授業で 3 人が同じ班になり、バルサ材の片持ち梁を作った。10 月、父の工場が閉鎖され、51 歳の父は大型トラックの教習所に通い始めた。</t>
        </is>
      </c>
      <c r="K44" s="12" t="inlineStr">
        <is>
          <t>自分が初めて人と一緒に作ったものがたわんで持ちこたえた年に、父の 22 年が終わった。誇らしさと申し訳なさが同時にあった。</t>
        </is>
      </c>
      <c r="L44" s="13" t="inlineStr">
        <is>
          <t>○</t>
        </is>
      </c>
    </row>
    <row r="45">
      <c r="A45" s="38" t="inlineStr">
        <is>
          <t>soft_cantilever</t>
        </is>
      </c>
      <c r="B45" s="27" t="inlineStr">
        <is>
          <t>kino</t>
        </is>
      </c>
      <c r="C45" s="13" t="inlineStr">
        <is>
          <t>採用</t>
        </is>
      </c>
      <c r="D45" s="13" t="n">
        <v>19</v>
      </c>
      <c r="E45" s="13" t="n">
        <v>21</v>
      </c>
      <c r="F45" s="12" t="inlineStr">
        <is>
          <t>2018〜2019</t>
        </is>
      </c>
      <c r="G45" s="12" t="inlineStr">
        <is>
          <t>オーストラリア・メルボルン・Parkville と Collingwood</t>
        </is>
      </c>
      <c r="H45" s="12" t="inlineStr">
        <is>
          <t>学部 2〜3 年。週末はショッピングセンターの楽器店でアルバイト。</t>
        </is>
      </c>
      <c r="I45" s="12" t="inlineStr">
        <is>
          <t>ビアとタヴ・建築学部の同級生・倉庫の屋上を貸してくれた先輩</t>
        </is>
      </c>
      <c r="J45" s="12" t="inlineStr">
        <is>
          <t>2018 年 11 月、学年末展示のオープニングで 3 人で初めて演奏した。2019 年は友人の倉庫の屋上で月 1 回、昼だけのライブを続けた。</t>
        </is>
      </c>
      <c r="K45" s="12" t="inlineStr">
        <is>
          <t>人前で歌うのが怖いより、3 人で鳴らすのが楽しいが勝った。</t>
        </is>
      </c>
      <c r="L45" s="13" t="inlineStr"/>
    </row>
    <row r="46">
      <c r="A46" s="38" t="inlineStr">
        <is>
          <t>soft_cantilever</t>
        </is>
      </c>
      <c r="B46" s="27" t="inlineStr">
        <is>
          <t>kino</t>
        </is>
      </c>
      <c r="C46" s="13" t="inlineStr">
        <is>
          <t>採用</t>
        </is>
      </c>
      <c r="D46" s="13" t="n">
        <v>21</v>
      </c>
      <c r="E46" s="13" t="n">
        <v>23</v>
      </c>
      <c r="F46" s="12" t="inlineStr">
        <is>
          <t>2020〜2021</t>
        </is>
      </c>
      <c r="G46" s="12" t="inlineStr">
        <is>
          <t>オーストラリア・メルボルン・St Albans（実家）</t>
        </is>
      </c>
      <c r="H46" s="12" t="inlineStr">
        <is>
          <t>修士課程。長いロックダウンで、実家の自分の部屋がスタジオと製図室と寝室を兼ねた。</t>
        </is>
      </c>
      <c r="I46" s="12" t="inlineStr">
        <is>
          <t>家族・画面の向こうのビアとタヴ</t>
        </is>
      </c>
      <c r="J46" s="12" t="inlineStr">
        <is>
          <t>2020 年 7〜8 月（メルボルンの真冬）、母の勤める高齢者施設で感染が広がり、母は家族にうつさないよう 3 週間近くのホテルから通勤した。夜は 3 人で画面越しに曲を組み立てた。</t>
        </is>
      </c>
      <c r="K46" s="12" t="inlineStr">
        <is>
          <t>何もできない自分が嫌だった。半径 5 km の中で、作ることだけが外に出る方法だった。</t>
        </is>
      </c>
      <c r="L46" s="13" t="inlineStr">
        <is>
          <t>○</t>
        </is>
      </c>
    </row>
    <row r="47">
      <c r="A47" s="38" t="inlineStr">
        <is>
          <t>soft_cantilever</t>
        </is>
      </c>
      <c r="B47" s="27" t="inlineStr">
        <is>
          <t>kino</t>
        </is>
      </c>
      <c r="C47" s="13" t="inlineStr">
        <is>
          <t>採用</t>
        </is>
      </c>
      <c r="D47" s="13" t="n">
        <v>23</v>
      </c>
      <c r="E47" s="13" t="n">
        <v>25</v>
      </c>
      <c r="F47" s="12" t="inlineStr">
        <is>
          <t>2022〜2023</t>
        </is>
      </c>
      <c r="G47" s="12" t="inlineStr">
        <is>
          <t>オーストラリア・メルボルン・Footscray</t>
        </is>
      </c>
      <c r="H47" s="12" t="inlineStr">
        <is>
          <t>中心街の大手設計事務所で、ショッピングセンターの改修と立体駐車場の図面を描く。恋人の Sophie と Footscray の 3 階建てのレンガのアパートで同棲。</t>
        </is>
      </c>
      <c r="I47" s="12" t="inlineStr">
        <is>
          <t>Sophie（同じ業界の設計者）・事務所の同期・ビアとタヴ</t>
        </is>
      </c>
      <c r="J47" s="12" t="inlineStr">
        <is>
          <t>週 55 時間働きながら、金曜の夜だけライブハウスで演奏した。2023 年 12 月、3 人でメルボルンからシドニーまでサービスエリアごとに演奏するロードトリップに出た。</t>
        </is>
      </c>
      <c r="K47" s="12" t="inlineStr">
        <is>
          <t>仕事の図面には自分がいない気がしていた。バンの中だけ呼吸ができた。</t>
        </is>
      </c>
      <c r="L47" s="13" t="inlineStr"/>
    </row>
    <row r="48">
      <c r="A48" s="38" t="inlineStr">
        <is>
          <t>soft_cantilever</t>
        </is>
      </c>
      <c r="B48" s="27" t="inlineStr">
        <is>
          <t>kino</t>
        </is>
      </c>
      <c r="C48" s="13" t="inlineStr">
        <is>
          <t>採用</t>
        </is>
      </c>
      <c r="D48" s="13" t="n">
        <v>25</v>
      </c>
      <c r="E48" s="13" t="n">
        <v>26</v>
      </c>
      <c r="F48" s="12" t="inlineStr">
        <is>
          <t>2024</t>
        </is>
      </c>
      <c r="G48" s="12" t="inlineStr">
        <is>
          <t>オーストラリア・メルボルン・Footscray</t>
        </is>
      </c>
      <c r="H48" s="12" t="inlineStr">
        <is>
          <t>3 月に事務所を辞め、しばらく何もせず実家と自分の部屋を往復した。</t>
        </is>
      </c>
      <c r="I48" s="12" t="inlineStr">
        <is>
          <t>Sophie・母・妹</t>
        </is>
      </c>
      <c r="J48" s="12" t="inlineStr">
        <is>
          <t>1 月にロードトリップの動画が大きく広がった。3 月に燃え尽きて退職。6 月、Sophie がロンドンの事務所に移ることになり、遠距離にはせず話し合って別れた。</t>
        </is>
      </c>
      <c r="K48" s="12" t="inlineStr">
        <is>
          <t>どちらが間違ったとも思わない。ただ、本棚の半分が空いた部屋に慣れるまで時間がかかった。</t>
        </is>
      </c>
      <c r="L48" s="13" t="inlineStr">
        <is>
          <t>○</t>
        </is>
      </c>
    </row>
    <row r="49">
      <c r="A49" s="38" t="inlineStr">
        <is>
          <t>soft_cantilever</t>
        </is>
      </c>
      <c r="B49" s="27" t="inlineStr">
        <is>
          <t>kino</t>
        </is>
      </c>
      <c r="C49" s="13" t="inlineStr">
        <is>
          <t>採用</t>
        </is>
      </c>
      <c r="D49" s="13" t="n">
        <v>26</v>
      </c>
      <c r="E49" s="13" t="n">
        <v>28</v>
      </c>
      <c r="F49" s="12" t="inlineStr">
        <is>
          <t>2025〜2026</t>
        </is>
      </c>
      <c r="G49" s="12" t="inlineStr">
        <is>
          <t>オーストラリア・メルボルン・Footscray と Brunswick East</t>
        </is>
      </c>
      <c r="H49" s="12" t="inlineStr">
        <is>
          <t>小さな工務店向けのフリーランスの 3D パース制作と、木曜の子どもギター教室で暮らす。週 2 回のリハ。</t>
        </is>
      </c>
      <c r="I49" s="12" t="inlineStr">
        <is>
          <t>父・ビアとタヴ・ギター教室の子どもたち</t>
        </is>
      </c>
      <c r="J49" s="12" t="inlineStr">
        <is>
          <t>2026 年 2 月、父のシドニー便に合わせて自分の車で同じ Hume を走り、Holbrook のサービスエリアで落ち合って昼を食べた。9 月、父が来年 3 月で引退すると告げた。10 月、初めての正式配信に向けて録音を終えた。</t>
        </is>
      </c>
      <c r="K49" s="12" t="inlineStr">
        <is>
          <t>父の仕事場を初めて外から見た。ドアを付ける人だった父が、今は道を部屋にしている。</t>
        </is>
      </c>
      <c r="L49" s="13" t="inlineStr">
        <is>
          <t>○</t>
        </is>
      </c>
    </row>
    <row r="50">
      <c r="A50" s="38" t="inlineStr">
        <is>
          <t>soft_cantilever</t>
        </is>
      </c>
      <c r="B50" s="27" t="inlineStr">
        <is>
          <t>kino</t>
        </is>
      </c>
      <c r="C50" s="13" t="inlineStr">
        <is>
          <t>採用</t>
        </is>
      </c>
      <c r="D50" s="13" t="n">
        <v>28</v>
      </c>
      <c r="E50" s="13" t="n">
        <v>31</v>
      </c>
      <c r="F50" s="12" t="inlineStr">
        <is>
          <t>2027〜2029</t>
        </is>
      </c>
      <c r="G50" s="12" t="inlineStr">
        <is>
          <t>オーストラリア東海岸とフィリピン・パンパンガ</t>
        </is>
      </c>
      <c r="H50" s="12" t="inlineStr">
        <is>
          <t>（予定）音楽とパースの仕事を半分ずつにする。</t>
        </is>
      </c>
      <c r="I50" s="12" t="inlineStr">
        <is>
          <t>父・祖母・ビアとタヴ</t>
        </is>
      </c>
      <c r="J50" s="12" t="inlineStr">
        <is>
          <t>（予定）2027 年 3 月、父の最後のシドニー便に同じ日に並んで走り、その日の曲を録る。その後に東海岸を 1 か月かけて回るツアー。2028 年に祖母を連れてパンパンガへ帰る旅をしたい。</t>
        </is>
      </c>
      <c r="K50" s="12" t="inlineStr">
        <is>
          <t>父の道の続きを、自分の道として走りたい。</t>
        </is>
      </c>
      <c r="L50" s="13" t="inlineStr">
        <is>
          <t>○</t>
        </is>
      </c>
    </row>
    <row r="51">
      <c r="A51" s="38" t="inlineStr">
        <is>
          <t>soft_cantilever</t>
        </is>
      </c>
      <c r="B51" s="27" t="inlineStr">
        <is>
          <t>bia</t>
        </is>
      </c>
      <c r="C51" s="13" t="inlineStr">
        <is>
          <t>採用</t>
        </is>
      </c>
      <c r="D51" s="13" t="n">
        <v>0</v>
      </c>
      <c r="E51" s="13" t="n">
        <v>5</v>
      </c>
      <c r="F51" s="12" t="inlineStr">
        <is>
          <t>1997〜2002</t>
        </is>
      </c>
      <c r="G51" s="12" t="inlineStr">
        <is>
          <t>ブラジル・パラナ州・ロンドリーナ（日系人の多い住宅地）</t>
        </is>
      </c>
      <c r="H51" s="12" t="inlineStr">
        <is>
          <t>祖父母の家の 2 階に一家で暮らす。台所の床は冷たい赤いタイル。</t>
        </is>
      </c>
      <c r="I51" s="12" t="inlineStr">
        <is>
          <t>祖母 Fumiko・両親・生まれたばかりの弟</t>
        </is>
      </c>
      <c r="J51" s="12" t="inlineStr">
        <is>
          <t>祖母に日本語の童謡と折り紙を教わった。</t>
        </is>
      </c>
      <c r="K51" s="12" t="inlineStr">
        <is>
          <t>家の中にいくつもの言葉があるのが当たり前だった。</t>
        </is>
      </c>
      <c r="L51" s="13" t="inlineStr"/>
    </row>
    <row r="52">
      <c r="A52" s="38" t="inlineStr">
        <is>
          <t>soft_cantilever</t>
        </is>
      </c>
      <c r="B52" s="27" t="inlineStr">
        <is>
          <t>bia</t>
        </is>
      </c>
      <c r="C52" s="13" t="inlineStr">
        <is>
          <t>採用</t>
        </is>
      </c>
      <c r="D52" s="13" t="n">
        <v>6</v>
      </c>
      <c r="E52" s="13" t="n">
        <v>11</v>
      </c>
      <c r="F52" s="12" t="inlineStr">
        <is>
          <t>2003〜2008</t>
        </is>
      </c>
      <c r="G52" s="12" t="inlineStr">
        <is>
          <t>日本・静岡県・浜松市の郊外の県営団地</t>
        </is>
      </c>
      <c r="H52" s="12" t="inlineStr">
        <is>
          <t>公立小学校に通い、放課後は日本語教室。両親は自動車部品工場と弁当工場の交代勤務で、夕食は弟と 2 人のことが多かった。</t>
        </is>
      </c>
      <c r="I52" s="12" t="inlineStr">
        <is>
          <t>弟 Lucas・団地のブラジル人家族・日本人の同級生の美咲</t>
        </is>
      </c>
      <c r="J52" s="12" t="inlineStr">
        <is>
          <t>団地の階段で美咲とラジカセを鳴らし、日本語の歌を覚えた。2008 年秋の不況で父の派遣契約が更新されなかった。</t>
        </is>
      </c>
      <c r="K52" s="12" t="inlineStr">
        <is>
          <t>自分の家はいつも『とりあえずの家』だと感じていた。階段の水色だけは今も覚えている。</t>
        </is>
      </c>
      <c r="L52" s="13" t="inlineStr">
        <is>
          <t>○</t>
        </is>
      </c>
    </row>
    <row r="53">
      <c r="A53" s="38" t="inlineStr">
        <is>
          <t>soft_cantilever</t>
        </is>
      </c>
      <c r="B53" s="27" t="inlineStr">
        <is>
          <t>bia</t>
        </is>
      </c>
      <c r="C53" s="13" t="inlineStr">
        <is>
          <t>採用</t>
        </is>
      </c>
      <c r="D53" s="13" t="n">
        <v>12</v>
      </c>
      <c r="E53" s="13" t="n">
        <v>19</v>
      </c>
      <c r="F53" s="12" t="inlineStr">
        <is>
          <t>2009〜2016</t>
        </is>
      </c>
      <c r="G53" s="12" t="inlineStr">
        <is>
          <t>ブラジル・サンパウロ・Saúde 地区（日系人の多い住宅地）</t>
        </is>
      </c>
      <c r="H53" s="12" t="inlineStr">
        <is>
          <t>2009 年 4 月に帰国。ポルトガル語の読み書きが遅れていて、中学の最初の 1 年は授業についていけなかった。14 歳で学校の音楽クラブのベースが空いていて弾き始めた。</t>
        </is>
      </c>
      <c r="I53" s="12" t="inlineStr">
        <is>
          <t>父母と弟・音楽クラブの先輩・ベースを教えてくれた楽器店の店主</t>
        </is>
      </c>
      <c r="J53" s="12" t="inlineStr">
        <is>
          <t>高校で、工場を改装した市民の文化施設を見学して建築を志す。2016 年、父が浜松時代の貯金を『1 年目の学費に』と差し出し、メルボルンへの留学を決めた。</t>
        </is>
      </c>
      <c r="K53" s="12" t="inlineStr">
        <is>
          <t>どこにいても途中から入る人だった。だから最初に全体の図を描いてから入る癖がついた。</t>
        </is>
      </c>
      <c r="L53" s="13" t="inlineStr">
        <is>
          <t>○</t>
        </is>
      </c>
    </row>
    <row r="54">
      <c r="A54" s="38" t="inlineStr">
        <is>
          <t>soft_cantilever</t>
        </is>
      </c>
      <c r="B54" s="27" t="inlineStr">
        <is>
          <t>bia</t>
        </is>
      </c>
      <c r="C54" s="13" t="inlineStr">
        <is>
          <t>採用</t>
        </is>
      </c>
      <c r="D54" s="13" t="n">
        <v>20</v>
      </c>
      <c r="E54" s="13" t="n">
        <v>24</v>
      </c>
      <c r="F54" s="12" t="inlineStr">
        <is>
          <t>2017〜2021</t>
        </is>
      </c>
      <c r="G54" s="12" t="inlineStr">
        <is>
          <t>オーストラリア・メルボルン・Carlton（大学近くのワンルーム）</t>
        </is>
      </c>
      <c r="H54" s="12" t="inlineStr">
        <is>
          <t>留学生として建築学部と修士課程へ。2 年目から成績優秀者の学費半額の減免を受け、週 20 時間ラーメン店で働いた。</t>
        </is>
      </c>
      <c r="I54" s="12" t="inlineStr">
        <is>
          <t>キノとタヴ・ラーメン店の店主・ブラジル人の留学生仲間</t>
        </is>
      </c>
      <c r="J54" s="12" t="inlineStr">
        <is>
          <t>2017 年 3 月、構造の授業で 3 人が同じ班に。2020〜2021 年は国境が閉じて帰国できず、9 ㎡の部屋で修士の設計とベースの宅録を続けた。2021 年 7 月、祖母 Fumiko がロンドリーナで亡くなり、葬儀をスマホの画面で見た。</t>
        </is>
      </c>
      <c r="K54" s="12" t="inlineStr">
        <is>
          <t>画面の中の祖母の家の屋根を、方眼紙に写すことしかできなかった。</t>
        </is>
      </c>
      <c r="L54" s="13" t="inlineStr">
        <is>
          <t>○</t>
        </is>
      </c>
    </row>
    <row r="55">
      <c r="A55" s="38" t="inlineStr">
        <is>
          <t>soft_cantilever</t>
        </is>
      </c>
      <c r="B55" s="27" t="inlineStr">
        <is>
          <t>bia</t>
        </is>
      </c>
      <c r="C55" s="13" t="inlineStr">
        <is>
          <t>採用</t>
        </is>
      </c>
      <c r="D55" s="13" t="n">
        <v>25</v>
      </c>
      <c r="E55" s="13" t="n">
        <v>29</v>
      </c>
      <c r="F55" s="12" t="inlineStr">
        <is>
          <t>2022〜2026</t>
        </is>
      </c>
      <c r="G55" s="12" t="inlineStr">
        <is>
          <t>オーストラリア・メルボルン・Brunswick</t>
        </is>
      </c>
      <c r="H55" s="12" t="inlineStr">
        <is>
          <t>Collingwood の中規模の設計事務所で、木造の中層の社会住宅を担当。平日 4 日勤務にしてバンドの時間をつくる。</t>
        </is>
      </c>
      <c r="I55" s="12" t="inlineStr">
        <is>
          <t>事務所の同僚・キノとタヴ・サンパウロの両親</t>
        </is>
      </c>
      <c r="J55" s="12" t="inlineStr">
        <is>
          <t>2022 年に 3 年付き合った恋人と別れた。2024 年に建築家として登録、2025 年に永住権が下りた。2026 年 1 月、両親が初めてメルボルンに来て、3 人のバンで海沿いの道を走った。</t>
        </is>
      </c>
      <c r="K55" s="12" t="inlineStr">
        <is>
          <t>やっと『とりあえず』ではない住所を持てた。父がバンの窓から海を見て、何も言わずにずっと頷いていた。</t>
        </is>
      </c>
      <c r="L55" s="13" t="inlineStr">
        <is>
          <t>○</t>
        </is>
      </c>
    </row>
    <row r="56">
      <c r="A56" s="38" t="inlineStr">
        <is>
          <t>soft_cantilever</t>
        </is>
      </c>
      <c r="B56" s="27" t="inlineStr">
        <is>
          <t>bia</t>
        </is>
      </c>
      <c r="C56" s="13" t="inlineStr">
        <is>
          <t>採用</t>
        </is>
      </c>
      <c r="D56" s="13" t="n">
        <v>30</v>
      </c>
      <c r="E56" s="13" t="n">
        <v>33</v>
      </c>
      <c r="F56" s="12" t="inlineStr">
        <is>
          <t>2027〜2030</t>
        </is>
      </c>
      <c r="G56" s="12" t="inlineStr">
        <is>
          <t>オーストラリア・メルボルンと日本・浜松</t>
        </is>
      </c>
      <c r="H56" s="12" t="inlineStr">
        <is>
          <t>（予定）社会住宅の設計で、小さな事務所として独立する。</t>
        </is>
      </c>
      <c r="I56" s="12" t="inlineStr">
        <is>
          <t>キノとタヴ・浜松の同級生の美咲</t>
        </is>
      </c>
      <c r="J56" s="12" t="inlineStr">
        <is>
          <t>（予定）20 年ぶりに浜松の団地を訪ね、あの階段の水色を確かめに行く。</t>
        </is>
      </c>
      <c r="K56" s="12" t="inlineStr">
        <is>
          <t>通り過ぎてきた家を、1 つずつ図面に残しておきたい。</t>
        </is>
      </c>
      <c r="L56" s="13" t="inlineStr"/>
    </row>
    <row r="57">
      <c r="A57" s="38" t="inlineStr">
        <is>
          <t>soft_cantilever</t>
        </is>
      </c>
      <c r="B57" s="27" t="inlineStr">
        <is>
          <t>tav</t>
        </is>
      </c>
      <c r="C57" s="13" t="inlineStr">
        <is>
          <t>採用</t>
        </is>
      </c>
      <c r="D57" s="13" t="n">
        <v>0</v>
      </c>
      <c r="E57" s="13" t="n">
        <v>12</v>
      </c>
      <c r="F57" s="12" t="inlineStr">
        <is>
          <t>1999〜2011</t>
        </is>
      </c>
      <c r="G57" s="12" t="inlineStr">
        <is>
          <t>ニュージーランド・ホークスベイ・Napier・Marewa 地区</t>
        </is>
      </c>
      <c r="H57" s="12" t="inlineStr">
        <is>
          <t>木造の平屋の公営住宅で育つ。地元の公立小学校と中学校（intermediate）に通い、週末は父の現場で釘を拾った。</t>
        </is>
      </c>
      <c r="I57" s="12" t="inlineStr">
        <is>
          <t>両親・姉 Mele・母方の祖母 Fetu・教会のおじたち</t>
        </is>
      </c>
      <c r="J57" s="12" t="inlineStr">
        <is>
          <t>8 歳から母の教会でおじにドラムを習った。父と自転車で、1931 年の地震のあとに建て直された街の装飾的な建物を見て回るのが好きだった。</t>
        </is>
      </c>
      <c r="K57" s="12" t="inlineStr">
        <is>
          <t>建物は誰かが手で建てたものだ、と体で覚えた。</t>
        </is>
      </c>
      <c r="L57" s="13" t="inlineStr">
        <is>
          <t>○</t>
        </is>
      </c>
    </row>
    <row r="58">
      <c r="A58" s="38" t="inlineStr">
        <is>
          <t>soft_cantilever</t>
        </is>
      </c>
      <c r="B58" s="27" t="inlineStr">
        <is>
          <t>tav</t>
        </is>
      </c>
      <c r="C58" s="13" t="inlineStr">
        <is>
          <t>採用</t>
        </is>
      </c>
      <c r="D58" s="13" t="n">
        <v>13</v>
      </c>
      <c r="E58" s="13" t="n">
        <v>17</v>
      </c>
      <c r="F58" s="12" t="inlineStr">
        <is>
          <t>2012〜2016</t>
        </is>
      </c>
      <c r="G58" s="12" t="inlineStr">
        <is>
          <t>オーストラリア・ビクトリア州・Frankston</t>
        </is>
      </c>
      <c r="H58" s="12" t="inlineStr">
        <is>
          <t>2012 年 1 月、父の仕事のため一家で移住。公立の中等学校で、訛りを『fush and chups』とからかわれた。学校のステージバンドでドラムを叩く。</t>
        </is>
      </c>
      <c r="I58" s="12" t="inlineStr">
        <is>
          <t>家族・ステージバンドの先生・父の現場の職人たち</t>
        </is>
      </c>
      <c r="J58" s="12" t="inlineStr">
        <is>
          <t>週末は父の現場を手伝い、設計者の図面と父の手の仕事の間を見た。Year 12 で建築学部を目指すと決めた。</t>
        </is>
      </c>
      <c r="K58" s="12" t="inlineStr">
        <is>
          <t>図面を描く側に行けば、父の仕事をもっと楽にできると思っていた。</t>
        </is>
      </c>
      <c r="L58" s="13" t="inlineStr"/>
    </row>
    <row r="59">
      <c r="A59" s="38" t="inlineStr">
        <is>
          <t>soft_cantilever</t>
        </is>
      </c>
      <c r="B59" s="27" t="inlineStr">
        <is>
          <t>tav</t>
        </is>
      </c>
      <c r="C59" s="13" t="inlineStr">
        <is>
          <t>採用</t>
        </is>
      </c>
      <c r="D59" s="13" t="n">
        <v>18</v>
      </c>
      <c r="E59" s="13" t="n">
        <v>22</v>
      </c>
      <c r="F59" s="12" t="inlineStr">
        <is>
          <t>2017〜2021</t>
        </is>
      </c>
      <c r="G59" s="12" t="inlineStr">
        <is>
          <t>オーストラリア・メルボルン・Parkville と Frankston（実家から電車で 1 時間）</t>
        </is>
      </c>
      <c r="H59" s="12" t="inlineStr">
        <is>
          <t>建築学部と修士課程。ニュージーランド国籍で学費ローンの条件を満たせず、学費の一部を週末の現場仕事で払った。</t>
        </is>
      </c>
      <c r="I59" s="12" t="inlineStr">
        <is>
          <t>キノとビア・父・現場の職人たち</t>
        </is>
      </c>
      <c r="J59" s="12" t="inlineStr">
        <is>
          <t>2021 年 3 月、父が現場で腰を痛めて半年働けなくなった。修士の最終年に、週末だけ父の顧客の小さなデッキや戸の仕事を代わりに仕上げた。</t>
        </is>
      </c>
      <c r="K59" s="12" t="inlineStr">
        <is>
          <t>修士の模型より、父の客のデッキのほうが手に重かった。どちらが自分の仕事なのか分からなくなった。</t>
        </is>
      </c>
      <c r="L59" s="13" t="inlineStr">
        <is>
          <t>○</t>
        </is>
      </c>
    </row>
    <row r="60">
      <c r="A60" s="38" t="inlineStr">
        <is>
          <t>soft_cantilever</t>
        </is>
      </c>
      <c r="B60" s="27" t="inlineStr">
        <is>
          <t>tav</t>
        </is>
      </c>
      <c r="C60" s="13" t="inlineStr">
        <is>
          <t>採用</t>
        </is>
      </c>
      <c r="D60" s="13" t="n">
        <v>23</v>
      </c>
      <c r="E60" s="13" t="n">
        <v>25</v>
      </c>
      <c r="F60" s="12" t="inlineStr">
        <is>
          <t>2022〜2024</t>
        </is>
      </c>
      <c r="G60" s="12" t="inlineStr">
        <is>
          <t>オーストラリア・メルボルン・Coburg と北部の職業訓練校</t>
        </is>
      </c>
      <c r="H60" s="12" t="inlineStr">
        <is>
          <t>修士を出てすぐ、大人向けの見習い大工になる。給料は同級生の半分以下。</t>
        </is>
      </c>
      <c r="I60" s="12" t="inlineStr">
        <is>
          <t>見習い仲間・親方・Grace</t>
        </is>
      </c>
      <c r="J60" s="12" t="inlineStr">
        <is>
          <t>見習い 1 か月目に金槌で右の親指の爪を割った。2023 年、友人の誕生日会で救急の看護師の Grace と出会う。2024 年に大工の資格を取った。</t>
        </is>
      </c>
      <c r="K60" s="12" t="inlineStr">
        <is>
          <t>回り道に見えても、まっすぐ立っている感じがした。</t>
        </is>
      </c>
      <c r="L60" s="13" t="inlineStr"/>
    </row>
    <row r="61">
      <c r="A61" s="38" t="inlineStr">
        <is>
          <t>soft_cantilever</t>
        </is>
      </c>
      <c r="B61" s="27" t="inlineStr">
        <is>
          <t>tav</t>
        </is>
      </c>
      <c r="C61" s="13" t="inlineStr">
        <is>
          <t>採用</t>
        </is>
      </c>
      <c r="D61" s="13" t="n">
        <v>26</v>
      </c>
      <c r="E61" s="13" t="n">
        <v>27</v>
      </c>
      <c r="F61" s="12" t="inlineStr">
        <is>
          <t>2025〜2026</t>
        </is>
      </c>
      <c r="G61" s="12" t="inlineStr">
        <is>
          <t>オーストラリア・メルボルン・Coburg</t>
        </is>
      </c>
      <c r="H61" s="12" t="inlineStr">
        <is>
          <t>湾岸の住宅地を回る小さな工務店で、デッキと増築を担当。Grace と古い木造の家を借りて同居。</t>
        </is>
      </c>
      <c r="I61" s="12" t="inlineStr">
        <is>
          <t>Grace・親方・キノとビア</t>
        </is>
      </c>
      <c r="J61" s="12" t="inlineStr">
        <is>
          <t>2026 年 4 月、初めて自分が責任者として 2.4 m 張り出す片持ちのデッキを施工した。完成の日、施主の子どもがデッキの先端で跳ねても、たわみは図面どおりだった。</t>
        </is>
      </c>
      <c r="K61" s="12" t="inlineStr">
        <is>
          <t>18 歳のときにバルサで作ったものを、9 年かけて本物にした気がした。</t>
        </is>
      </c>
      <c r="L61" s="13" t="inlineStr">
        <is>
          <t>○</t>
        </is>
      </c>
    </row>
    <row r="62">
      <c r="A62" s="38" t="inlineStr">
        <is>
          <t>soft_cantilever</t>
        </is>
      </c>
      <c r="B62" s="27" t="inlineStr">
        <is>
          <t>tav</t>
        </is>
      </c>
      <c r="C62" s="13" t="inlineStr">
        <is>
          <t>採用</t>
        </is>
      </c>
      <c r="D62" s="13" t="n">
        <v>28</v>
      </c>
      <c r="E62" s="13" t="n">
        <v>30</v>
      </c>
      <c r="F62" s="12" t="inlineStr">
        <is>
          <t>2027〜2029</t>
        </is>
      </c>
      <c r="G62" s="12" t="inlineStr">
        <is>
          <t>オーストラリア・メルボルン・Coburg North とニュージーランド・Napier</t>
        </is>
      </c>
      <c r="H62" s="12" t="inlineStr">
        <is>
          <t>（予定）小さな貸し倉庫で自分の工房を持ち、家具と楽器ケースを作る。</t>
        </is>
      </c>
      <c r="I62" s="12" t="inlineStr">
        <is>
          <t>Grace・両親・祖母 Fetu</t>
        </is>
      </c>
      <c r="J62" s="12" t="inlineStr">
        <is>
          <t>（予定）2028 年に Napier で Grace と結婚式を挙げ、祖母の前で教会のドラムを叩く。</t>
        </is>
      </c>
      <c r="K62" s="12" t="inlineStr">
        <is>
          <t>手で作るものと、叩く音で、家族を支える側に回りたい。</t>
        </is>
      </c>
      <c r="L62" s="13" t="inlineStr"/>
    </row>
    <row r="63">
      <c r="A63" s="38" t="inlineStr">
        <is>
          <t>soft_cantilever</t>
        </is>
      </c>
      <c r="B63" s="27" t="inlineStr"/>
      <c r="C63" s="13" t="inlineStr">
        <is>
          <t>採用</t>
        </is>
      </c>
      <c r="D63" s="13" t="n">
        <v>18</v>
      </c>
      <c r="E63" s="13" t="n">
        <v>21</v>
      </c>
      <c r="F63" s="12" t="inlineStr">
        <is>
          <t>2017〜2018</t>
        </is>
      </c>
      <c r="G63" s="12" t="inlineStr">
        <is>
          <t>オーストラリア・メルボルン・Parkville（建築学部の製図室とアトリウム）</t>
        </is>
      </c>
      <c r="H63" s="12" t="inlineStr">
        <is>
          <t>3 人とも学部生。製図室の隅でキノがギターを弾き、ビアが家から持ってきたベースを合わせた。</t>
        </is>
      </c>
      <c r="I63" s="12" t="inlineStr">
        <is>
          <t>キノ・ビア・タヴ・構造の講師</t>
        </is>
      </c>
      <c r="J63" s="12" t="inlineStr">
        <is>
          <t>2017 年の構造の課題『soft cantilever』のあと、製図室で一緒に音を出すようになる。2018 年 11 月の学年末展示のオープニングで初めて人前で演奏した。</t>
        </is>
      </c>
      <c r="K63" s="12" t="inlineStr">
        <is>
          <t>3 人とも、1 人では立たないけれど 3 人なら持つ、と同じ日に気づいた。</t>
        </is>
      </c>
      <c r="L63" s="13" t="inlineStr">
        <is>
          <t>○</t>
        </is>
      </c>
    </row>
    <row r="64">
      <c r="A64" s="38" t="inlineStr">
        <is>
          <t>soft_cantilever</t>
        </is>
      </c>
      <c r="B64" s="27" t="inlineStr"/>
      <c r="C64" s="13" t="inlineStr">
        <is>
          <t>採用</t>
        </is>
      </c>
      <c r="D64" s="13" t="n">
        <v>24</v>
      </c>
      <c r="E64" s="13" t="n">
        <v>26</v>
      </c>
      <c r="F64" s="12" t="inlineStr">
        <is>
          <t>2023〜2024</t>
        </is>
      </c>
      <c r="G64" s="12" t="inlineStr">
        <is>
          <t>オーストラリア・Hume Freeway（メルボルン〜シドニー）</t>
        </is>
      </c>
      <c r="H64" s="12" t="inlineStr">
        <is>
          <t>3 人とも仕事を 1 週間休み、タヴの白い中古のバンで 3 日かけて北上した。</t>
        </is>
      </c>
      <c r="I64" s="12" t="inlineStr">
        <is>
          <t>キノ・ビア・タヴ・サービスエリアで足を止めた人たち</t>
        </is>
      </c>
      <c r="J64" s="12" t="inlineStr">
        <is>
          <t>2023 年 12 月、8 か所のサービスエリアでバンの横で 1 曲ずつ演奏し動画を撮った。1 月に公開した Holbrook の回が大きく広がった。</t>
        </is>
      </c>
      <c r="K64" s="12" t="inlineStr">
        <is>
          <t>自分たちの歌がどこで聴かれるべきか、初めて分かった。</t>
        </is>
      </c>
      <c r="L64" s="13" t="inlineStr">
        <is>
          <t>○</t>
        </is>
      </c>
    </row>
    <row r="65">
      <c r="A65" s="39" t="inlineStr">
        <is>
          <t>tidewool</t>
        </is>
      </c>
      <c r="B65" s="27" t="inlineStr">
        <is>
          <t>isla</t>
        </is>
      </c>
      <c r="C65" s="13" t="inlineStr">
        <is>
          <t>採用</t>
        </is>
      </c>
      <c r="D65" s="13" t="n">
        <v>0</v>
      </c>
      <c r="E65" s="13" t="n">
        <v>6</v>
      </c>
      <c r="F65" s="12" t="inlineStr">
        <is>
          <t>1995〜2001</t>
        </is>
      </c>
      <c r="G65" s="12" t="inlineStr">
        <is>
          <t>ニュージーランド・オタゴ地方・マニオトト平原（パテアロア近くの羊牧場）</t>
        </is>
      </c>
      <c r="H65" s="12" t="inlineStr">
        <is>
          <t>牧場の母屋で育つ。最寄りの店まで砂利道を車で 20 分。就学前は母について毛刈り小屋に出入りした。</t>
        </is>
      </c>
      <c r="I65" s="12" t="inlineStr">
        <is>
          <t>父と母、3 歳上の兄、牧羊犬 4 頭、毎年 11 月に来る毛刈り隊の人たち</t>
        </is>
      </c>
      <c r="J65" s="12" t="inlineStr">
        <is>
          <t>毛刈りの季節、床に落ちた羊毛を集めて小さな山を作るのが遊びだった。長い車の移動中に母と歌い、3 歳で母の歌にハモりの真似をつけ始めた。</t>
        </is>
      </c>
      <c r="K65" s="12" t="inlineStr">
        <is>
          <t>羊毛の脂の匂いが『家』の匂いになった。歌うと車の中の時間が短くなると知った。</t>
        </is>
      </c>
      <c r="L65" s="13" t="inlineStr">
        <is>
          <t>○</t>
        </is>
      </c>
    </row>
    <row r="66">
      <c r="A66" s="39" t="inlineStr">
        <is>
          <t>tidewool</t>
        </is>
      </c>
      <c r="B66" s="27" t="inlineStr">
        <is>
          <t>isla</t>
        </is>
      </c>
      <c r="C66" s="13" t="inlineStr">
        <is>
          <t>採用</t>
        </is>
      </c>
      <c r="D66" s="13" t="n">
        <v>7</v>
      </c>
      <c r="E66" s="13" t="n">
        <v>12</v>
      </c>
      <c r="F66" s="12" t="inlineStr">
        <is>
          <t>2002〜2007</t>
        </is>
      </c>
      <c r="G66" s="12" t="inlineStr">
        <is>
          <t>マニオトト平原の牧場とダニーデン・ロズリン地区（祖母の家）</t>
        </is>
      </c>
      <c r="H66" s="12" t="inlineStr">
        <is>
          <t>地区の小さな総合学校（全校 180 人。幼稚部から高校まで同じ校舎）に通う。学期休みはダニーデンの祖母の家に泊まる。</t>
        </is>
      </c>
      <c r="I66" s="12" t="inlineStr">
        <is>
          <t>祖母 Oma（オランダ系）、学校の音楽の先生、兄</t>
        </is>
      </c>
      <c r="J66" s="12" t="inlineStr">
        <is>
          <t>7 歳の冬休みに祖母から編み物を習う。最初のマフラーで目を落として泣くと、祖母は編み方より先に『落ちた目の拾い方』を教えた。11 歳で地区の文化祭で初めて独唱した。</t>
        </is>
      </c>
      <c r="K66" s="12" t="inlineStr">
        <is>
          <t>間違いは直せる。直した跡も模様になると、言葉より手で覚えた。</t>
        </is>
      </c>
      <c r="L66" s="13" t="inlineStr">
        <is>
          <t>○</t>
        </is>
      </c>
    </row>
    <row r="67">
      <c r="A67" s="39" t="inlineStr">
        <is>
          <t>tidewool</t>
        </is>
      </c>
      <c r="B67" s="27" t="inlineStr">
        <is>
          <t>isla</t>
        </is>
      </c>
      <c r="C67" s="13" t="inlineStr">
        <is>
          <t>採用</t>
        </is>
      </c>
      <c r="D67" s="13" t="n">
        <v>13</v>
      </c>
      <c r="E67" s="13" t="n">
        <v>17</v>
      </c>
      <c r="F67" s="12" t="inlineStr">
        <is>
          <t>2008〜2012</t>
        </is>
      </c>
      <c r="G67" s="12" t="inlineStr">
        <is>
          <t>ニュージーランド・ダニーデン（市の北側の女子寄宿学校）</t>
        </is>
      </c>
      <c r="H67" s="12" t="inlineStr">
        <is>
          <t>週末にしか家に帰れない寄宿生活。合唱部のアルト。消灯後に毛布の中で編み物をした。</t>
        </is>
      </c>
      <c r="I67" s="12" t="inlineStr">
        <is>
          <t>寮の同室の友人（今は看護師）、ギターを教えてくれた上級生、合唱部の先生</t>
        </is>
      </c>
      <c r="J67" s="12" t="inlineStr">
        <is>
          <t>上級生にギターのコードを 3 つ教わり、寮の階段で歌うようになる。15 歳の 9 月、遅い大雪で牧場の子羊が多く死に、公衆電話越しの父の声が初めて小さかった。</t>
        </is>
      </c>
      <c r="K67" s="12" t="inlineStr">
        <is>
          <t>遠くにいて何もできないもどかしさ。家族の役に立つ方法を探したくなった。</t>
        </is>
      </c>
      <c r="L67" s="13" t="inlineStr">
        <is>
          <t>○</t>
        </is>
      </c>
    </row>
    <row r="68">
      <c r="A68" s="39" t="inlineStr">
        <is>
          <t>tidewool</t>
        </is>
      </c>
      <c r="B68" s="27" t="inlineStr">
        <is>
          <t>isla</t>
        </is>
      </c>
      <c r="C68" s="13" t="inlineStr">
        <is>
          <t>採用</t>
        </is>
      </c>
      <c r="D68" s="13" t="n">
        <v>18</v>
      </c>
      <c r="E68" s="13" t="n">
        <v>21</v>
      </c>
      <c r="F68" s="12" t="inlineStr">
        <is>
          <t>2013〜2016</t>
        </is>
      </c>
      <c r="G68" s="12" t="inlineStr">
        <is>
          <t>ダニーデン・ノースイースト・バレー地区のフラット／夏は南島各地の牧場</t>
        </is>
      </c>
      <c r="H68" s="12" t="inlineStr">
        <is>
          <t>ダニーデンの大学で地理学を学ぶ。夏休みは毛刈り隊の下働き（ルーシー）として 12 週間、南島の牧場を回る。</t>
        </is>
      </c>
      <c r="I68" s="12" t="inlineStr">
        <is>
          <t>フラットメイト 4 人、毛刈り隊の先輩たち、2 年付き合った同じ学部の恋人</t>
        </is>
      </c>
      <c r="J68" s="12" t="inlineStr">
        <is>
          <t>刈られた羊毛を台に広げて汚れを除き、等級ごとに分ける仕事を覚える。フラットのパーティで歌い始め、市内の小さなバーで月 1 回演奏した。卒業の年、北島で就職する恋人と話し合って別れる。</t>
        </is>
      </c>
      <c r="K68" s="12" t="inlineStr">
        <is>
          <t>どちらも悪くない別れだった。自分の行き先をまだ決められない焦りがあった。</t>
        </is>
      </c>
      <c r="L68" s="13" t="inlineStr"/>
    </row>
    <row r="69">
      <c r="A69" s="39" t="inlineStr">
        <is>
          <t>tidewool</t>
        </is>
      </c>
      <c r="B69" s="27" t="inlineStr">
        <is>
          <t>isla</t>
        </is>
      </c>
      <c r="C69" s="13" t="inlineStr">
        <is>
          <t>採用</t>
        </is>
      </c>
      <c r="D69" s="13" t="n">
        <v>22</v>
      </c>
      <c r="E69" s="13" t="n">
        <v>24</v>
      </c>
      <c r="F69" s="12" t="inlineStr">
        <is>
          <t>2017〜2019</t>
        </is>
      </c>
      <c r="G69" s="12" t="inlineStr">
        <is>
          <t>イギリス・ロンドン（ハックニー）→ コーンウォール・ペンリン</t>
        </is>
      </c>
      <c r="H69" s="12" t="inlineStr">
        <is>
          <t>若者向けの 2 年の就労ビザで渡英。ロンドンのパブの厨房で半年働き、2018 年 5 月に毛糸店の求人を見てペンリンへ移る。店の 2 階の小部屋に住んだ。</t>
        </is>
      </c>
      <c r="I69" s="12" t="inlineStr">
        <is>
          <t>毛糸店の店主（60 代の女性）、パブのセッションの常連、ゲシン</t>
        </is>
      </c>
      <c r="J69" s="12" t="inlineStr">
        <is>
          <t>2018 年 10 月の木曜、パブのセッションの隅で編んでいたら歌を頼まれ、祖母の子守歌を無伴奏で歌う。ギターで小さく和音を足したのが、ボート職人のゲシンだった。半年はセッション仲間として歌い、2019 年春に恋人になる。11 月、ビザが切れて帰国した。</t>
        </is>
      </c>
      <c r="K69" s="12" t="inlineStr">
        <is>
          <t>初めて自分で選んだ場所だった。帰らなければならないことが悔しかった。</t>
        </is>
      </c>
      <c r="L69" s="13" t="inlineStr">
        <is>
          <t>○</t>
        </is>
      </c>
    </row>
    <row r="70">
      <c r="A70" s="39" t="inlineStr">
        <is>
          <t>tidewool</t>
        </is>
      </c>
      <c r="B70" s="27" t="inlineStr">
        <is>
          <t>isla</t>
        </is>
      </c>
      <c r="C70" s="13" t="inlineStr">
        <is>
          <t>採用</t>
        </is>
      </c>
      <c r="D70" s="13" t="n">
        <v>24</v>
      </c>
      <c r="E70" s="13" t="n">
        <v>26</v>
      </c>
      <c r="F70" s="12" t="inlineStr">
        <is>
          <t>2019〜2021</t>
        </is>
      </c>
      <c r="G70" s="12" t="inlineStr">
        <is>
          <t>ニュージーランド・マニオトト平原の実家</t>
        </is>
      </c>
      <c r="H70" s="12" t="inlineStr">
        <is>
          <t>牧場を手伝いながら、地域の手芸店で週 3 日働く。朝はゲシンが前の晩に録った声のメモを聴き、夜は自分のパートを録って送った。</t>
        </is>
      </c>
      <c r="I70" s="12" t="inlineStr">
        <is>
          <t>両親、兄の家族、配信の視聴者、画面の向こうのゲシン</t>
        </is>
      </c>
      <c r="J70" s="12" t="inlineStr">
        <is>
          <t>国境が閉じ、2 人で声のメモを送り合って 30 曲以上を作る。週 1 回の編み物配信を始め、BGM にその曲を流した。2020 年 6 月にビデオ通話で求婚され、婚約者ビザの手続きに 1 年かかった。</t>
        </is>
      </c>
      <c r="K70" s="12" t="inlineStr">
        <is>
          <t>毎日声は聞けるのに触れられない。手を動かしていないと、待つ時間に負けそうだった。</t>
        </is>
      </c>
      <c r="L70" s="13" t="inlineStr">
        <is>
          <t>○</t>
        </is>
      </c>
    </row>
    <row r="71">
      <c r="A71" s="39" t="inlineStr">
        <is>
          <t>tidewool</t>
        </is>
      </c>
      <c r="B71" s="27" t="inlineStr">
        <is>
          <t>isla</t>
        </is>
      </c>
      <c r="C71" s="13" t="inlineStr">
        <is>
          <t>採用</t>
        </is>
      </c>
      <c r="D71" s="13" t="n">
        <v>26</v>
      </c>
      <c r="E71" s="13" t="n">
        <v>27</v>
      </c>
      <c r="F71" s="12" t="inlineStr">
        <is>
          <t>2021〜2022</t>
        </is>
      </c>
      <c r="G71" s="12" t="inlineStr">
        <is>
          <t>イングランド・コーンウォール・ペンリン（川へ下る坂の花崗岩のテラスハウス）</t>
        </is>
      </c>
      <c r="H71" s="12" t="inlineStr">
        <is>
          <t>2021 年 9 月に渡英し、ゲシンと暮らし始める。毛糸店に戻って働く。</t>
        </is>
      </c>
      <c r="I71" s="12" t="inlineStr">
        <is>
          <t>ゲシン、ゲシンの両親と妹、毛糸店の店主</t>
        </is>
      </c>
      <c r="J71" s="12" t="inlineStr">
        <is>
          <t>11 月、義父が心臓の手術を受け、最初の週末はゲシンと一緒にソルヴァへ通った。2022 年 2 月、トゥルーロの登記所で 14 人だけの結婚式。オタゴの家族はビデオ通話で参加し、母は画面の向こうで泣いた。</t>
        </is>
      </c>
      <c r="K71" s="12" t="inlineStr">
        <is>
          <t>うれしさと、自分の家族がその場にいない寂しさが同じ日にあった。</t>
        </is>
      </c>
      <c r="L71" s="13" t="inlineStr">
        <is>
          <t>○</t>
        </is>
      </c>
    </row>
    <row r="72">
      <c r="A72" s="39" t="inlineStr">
        <is>
          <t>tidewool</t>
        </is>
      </c>
      <c r="B72" s="27" t="inlineStr">
        <is>
          <t>isla</t>
        </is>
      </c>
      <c r="C72" s="13" t="inlineStr">
        <is>
          <t>採用</t>
        </is>
      </c>
      <c r="D72" s="13" t="n">
        <v>27</v>
      </c>
      <c r="E72" s="13" t="n">
        <v>30</v>
      </c>
      <c r="F72" s="12" t="inlineStr">
        <is>
          <t>2022〜2025</t>
        </is>
      </c>
      <c r="G72" s="12" t="inlineStr">
        <is>
          <t>コーンウォール・ペンリンとトゥルーロ</t>
        </is>
      </c>
      <c r="H72" s="12" t="inlineStr">
        <is>
          <t>毛糸店を辞め、ガンジーの受注製作と草木染めの毛糸で独立。土曜はトゥルーロのファーマーズマーケットに屋台を出す。</t>
        </is>
      </c>
      <c r="I72" s="12" t="inlineStr">
        <is>
          <t>市場の屋台仲間、配信の視聴者、セーターを注文する漁師やギグの漕ぎ手たち</t>
        </is>
      </c>
      <c r="J72" s="12" t="inlineStr">
        <is>
          <t>2023 年の冬、腱鞘炎で 3 か月編めなくなり、収入が半分になる。2024 年には注文のガンジーの胴回りを測り間違え、全部ほどいて編み直して納期を 1 か月遅らせた。同じ年、父が 20 年ぶりに国を出て 2 人を訪ねてきた。</t>
        </is>
      </c>
      <c r="K72" s="12" t="inlineStr">
        <is>
          <t>手が止まると自分が何者か分からなくなる怖さがあった。父がマーケットで黙って毛糸を撫でていたのを見て、続けていいと思えた。</t>
        </is>
      </c>
      <c r="L72" s="13" t="inlineStr">
        <is>
          <t>○</t>
        </is>
      </c>
    </row>
    <row r="73">
      <c r="A73" s="39" t="inlineStr">
        <is>
          <t>tidewool</t>
        </is>
      </c>
      <c r="B73" s="27" t="inlineStr">
        <is>
          <t>isla</t>
        </is>
      </c>
      <c r="C73" s="13" t="inlineStr">
        <is>
          <t>採用</t>
        </is>
      </c>
      <c r="D73" s="13" t="n">
        <v>31</v>
      </c>
      <c r="E73" s="13" t="n">
        <v>31</v>
      </c>
      <c r="F73" s="12" t="inlineStr">
        <is>
          <t>2026</t>
        </is>
      </c>
      <c r="G73" s="12" t="inlineStr">
        <is>
          <t>コーンウォール・ペンリン</t>
        </is>
      </c>
      <c r="H73" s="12" t="inlineStr">
        <is>
          <t>週 1 回の配信と、4 着の注文のガンジー。ボートヤードの網小屋の 2 階で録音を続ける。</t>
        </is>
      </c>
      <c r="I73" s="12" t="inlineStr">
        <is>
          <t>ゲシン、配信の視聴者、市場の仲間</t>
        </is>
      </c>
      <c r="J73" s="12" t="inlineStr">
        <is>
          <t>TIDEWOOL として初めて配信サービスに曲を出す準備をしている。オタゴにはもう 5 年帰っていない。</t>
        </is>
      </c>
      <c r="K73" s="12" t="inlineStr">
        <is>
          <t>好きで続けてきたことが仕事になる怖さと、遠くの家族にやっと形で届けられるうれしさ。</t>
        </is>
      </c>
      <c r="L73" s="13" t="inlineStr">
        <is>
          <t>○</t>
        </is>
      </c>
    </row>
    <row r="74">
      <c r="A74" s="39" t="inlineStr">
        <is>
          <t>tidewool</t>
        </is>
      </c>
      <c r="B74" s="27" t="inlineStr">
        <is>
          <t>isla</t>
        </is>
      </c>
      <c r="C74" s="13" t="inlineStr">
        <is>
          <t>採用</t>
        </is>
      </c>
      <c r="D74" s="13" t="n">
        <v>32</v>
      </c>
      <c r="E74" s="13" t="n">
        <v>33</v>
      </c>
      <c r="F74" s="12" t="inlineStr">
        <is>
          <t>2027〜2028</t>
        </is>
      </c>
      <c r="G74" s="12" t="inlineStr">
        <is>
          <t>ニュージーランド・マニオトト平原とコーンウォール・ペンリン</t>
        </is>
      </c>
      <c r="H74" s="12" t="inlineStr">
        <is>
          <t>（これから）冬はコーンウォールで編み、南半球の夏にオタゴへ帰る暮らしを試したい。</t>
        </is>
      </c>
      <c r="I74" s="12" t="inlineStr">
        <is>
          <t>ゲシン、両親、兄の家族、祖母</t>
        </is>
      </c>
      <c r="J74" s="12" t="inlineStr">
        <is>
          <t>2027 年 11 月、毛刈りの季節に 6 年ぶりに 2 人でオタゴへ帰り、実家の毛刈り小屋で数曲を録音する予定。</t>
        </is>
      </c>
      <c r="K74" s="12" t="inlineStr">
        <is>
          <t>父と兄の毛刈りの音を、自分たちの歌の下に敷きたい。</t>
        </is>
      </c>
      <c r="L74" s="13" t="inlineStr">
        <is>
          <t>○</t>
        </is>
      </c>
    </row>
    <row r="75">
      <c r="A75" s="39" t="inlineStr">
        <is>
          <t>tidewool</t>
        </is>
      </c>
      <c r="B75" s="27" t="inlineStr">
        <is>
          <t>isla</t>
        </is>
      </c>
      <c r="C75" s="13" t="inlineStr">
        <is>
          <t>採用</t>
        </is>
      </c>
      <c r="D75" s="13" t="n">
        <v>34</v>
      </c>
      <c r="E75" s="13" t="n">
        <v>36</v>
      </c>
      <c r="F75" s="12" t="inlineStr">
        <is>
          <t>2029〜2031</t>
        </is>
      </c>
      <c r="G75" s="12" t="inlineStr">
        <is>
          <t>コーンウォール（ペンリン周辺の内陸の小さな土地）</t>
        </is>
      </c>
      <c r="H75" s="12" t="inlineStr">
        <is>
          <t>（これから）羊を数頭飼える小さな土地を借りたい。</t>
        </is>
      </c>
      <c r="I75" s="12" t="inlineStr">
        <is>
          <t>ゲシン、市場の仲間</t>
        </is>
      </c>
      <c r="J75" s="12" t="inlineStr">
        <is>
          <t>自分の羊の毛で 2 人のセーターを編む。ゲシンと作る小さな手漕ぎ船で、海岸の町を回る演奏を続ける。</t>
        </is>
      </c>
      <c r="K75" s="12" t="inlineStr">
        <is>
          <t>急がずに、季節が 1 周するたびに少しずつ近づけばいい。</t>
        </is>
      </c>
      <c r="L75" s="13" t="inlineStr"/>
    </row>
    <row r="76">
      <c r="A76" s="39" t="inlineStr">
        <is>
          <t>tidewool</t>
        </is>
      </c>
      <c r="B76" s="27" t="inlineStr">
        <is>
          <t>gethin</t>
        </is>
      </c>
      <c r="C76" s="13" t="inlineStr">
        <is>
          <t>採用</t>
        </is>
      </c>
      <c r="D76" s="13" t="n">
        <v>0</v>
      </c>
      <c r="E76" s="13" t="n">
        <v>10</v>
      </c>
      <c r="F76" s="12" t="inlineStr">
        <is>
          <t>1990〜2000</t>
        </is>
      </c>
      <c r="G76" s="12" t="inlineStr">
        <is>
          <t>ウェールズ・ペンブルックシャー・ソルヴァ（港の奥、父の作業場の隣の家）</t>
        </is>
      </c>
      <c r="H76" s="12" t="inlineStr">
        <is>
          <t>ウェールズ語で授業をする村の小学校（全校 60 人）。放課後は父の作業場で過ごした。</t>
        </is>
      </c>
      <c r="I76" s="12" t="inlineStr">
        <is>
          <t>父 Huw、母 Eirlys、妹 Ffion、祖父 Dai（漁師兼船大工）</t>
        </is>
      </c>
      <c r="J76" s="12" t="inlineStr">
        <is>
          <t>5 歳から作業場の鉋屑を掃く係。祖父のカニ籠漁の小舟に乗り、潮が引くと泥の上に傾く船を見て育つ。日曜は礼拝堂で母の合唱を聴いた。</t>
        </is>
      </c>
      <c r="K76" s="12" t="inlineStr">
        <is>
          <t>潮が満ちるのを待つ時間は退屈ではなく、仕事の一部だと思っていた。</t>
        </is>
      </c>
      <c r="L76" s="13" t="inlineStr">
        <is>
          <t>○</t>
        </is>
      </c>
    </row>
    <row r="77">
      <c r="A77" s="39" t="inlineStr">
        <is>
          <t>tidewool</t>
        </is>
      </c>
      <c r="B77" s="27" t="inlineStr">
        <is>
          <t>gethin</t>
        </is>
      </c>
      <c r="C77" s="13" t="inlineStr">
        <is>
          <t>採用</t>
        </is>
      </c>
      <c r="D77" s="13" t="n">
        <v>11</v>
      </c>
      <c r="E77" s="13" t="n">
        <v>17</v>
      </c>
      <c r="F77" s="12" t="inlineStr">
        <is>
          <t>2001〜2007</t>
        </is>
      </c>
      <c r="G77" s="12" t="inlineStr">
        <is>
          <t>ペンブルックシャー・セント・デイヴィッズ（バスで通う中等学校）</t>
        </is>
      </c>
      <c r="H77" s="12" t="inlineStr">
        <is>
          <t>ウェールズ語と英語の 2 言語の総合中等学校。木工と音楽の授業だけは成績がよかった。</t>
        </is>
      </c>
      <c r="I77" s="12" t="inlineStr">
        <is>
          <t>幼なじみ 2 人（1 人は今もロブスター漁師）、音楽の先生、礼拝堂の合唱団</t>
        </is>
      </c>
      <c r="J77" s="12" t="inlineStr">
        <is>
          <t>14 歳で中古のアコースティックギターを買い、友達 3 人とバンドを組む。夏の港のパブで年 2 回演奏し、16 歳で地域のアイステズヴォッド（歌と詩の祭り）の独唱部門で 2 位になった。</t>
        </is>
      </c>
      <c r="K77" s="12" t="inlineStr">
        <is>
          <t>前に出て歌うのは苦手だが、誰かの声の下で和音を探すのは好きだと気づいた。</t>
        </is>
      </c>
      <c r="L77" s="13" t="inlineStr"/>
    </row>
    <row r="78">
      <c r="A78" s="39" t="inlineStr">
        <is>
          <t>tidewool</t>
        </is>
      </c>
      <c r="B78" s="27" t="inlineStr">
        <is>
          <t>gethin</t>
        </is>
      </c>
      <c r="C78" s="13" t="inlineStr">
        <is>
          <t>採用</t>
        </is>
      </c>
      <c r="D78" s="13" t="n">
        <v>18</v>
      </c>
      <c r="E78" s="13" t="n">
        <v>21</v>
      </c>
      <c r="F78" s="12" t="inlineStr">
        <is>
          <t>2008〜2011</t>
        </is>
      </c>
      <c r="G78" s="12" t="inlineStr">
        <is>
          <t>ソルヴァ（父の作業場）→ イングランド・コーンウォール・ファルマス</t>
        </is>
      </c>
      <c r="H78" s="12" t="inlineStr">
        <is>
          <t>学校を出て父の作業場で見習い。2010 年からファルマスの舟艇技術の専門学校（2 年課程）に通う。</t>
        </is>
      </c>
      <c r="I78" s="12" t="inlineStr">
        <is>
          <t>父、祖父、専門学校の同級生</t>
        </is>
      </c>
      <c r="J78" s="12" t="inlineStr">
        <is>
          <t>2009 年、祖父 Dai が 81 歳で亡くなり、祖父の小舟は他人に売られた。同じ年、不況で父の注文が半分になる。父に勧められ、外で学ぶためにコーンウォールへ渡った。</t>
        </is>
      </c>
      <c r="K78" s="12" t="inlineStr">
        <is>
          <t>家を出る後ろめたさと、家の仕事がなくなるかもしれない怖さが半分ずつ。</t>
        </is>
      </c>
      <c r="L78" s="13" t="inlineStr">
        <is>
          <t>○</t>
        </is>
      </c>
    </row>
    <row r="79">
      <c r="A79" s="39" t="inlineStr">
        <is>
          <t>tidewool</t>
        </is>
      </c>
      <c r="B79" s="27" t="inlineStr">
        <is>
          <t>gethin</t>
        </is>
      </c>
      <c r="C79" s="13" t="inlineStr">
        <is>
          <t>採用</t>
        </is>
      </c>
      <c r="D79" s="13" t="n">
        <v>22</v>
      </c>
      <c r="E79" s="13" t="n">
        <v>28</v>
      </c>
      <c r="F79" s="12" t="inlineStr">
        <is>
          <t>2012〜2018</t>
        </is>
      </c>
      <c r="G79" s="12" t="inlineStr">
        <is>
          <t>コーンウォール・ペンリン（ペンリン川沿いのボートヤード）</t>
        </is>
      </c>
      <c r="H79" s="12" t="inlineStr">
        <is>
          <t>ボートヤードに就職し、楡の板で 6 人漕ぎの木のボート（パイロットギグ）を新造・修理する。地元のギグ漕ぎクラブにも入った。</t>
        </is>
      </c>
      <c r="I79" s="12" t="inlineStr">
        <is>
          <t>ボートヤードの親方と同僚、ギグ漕ぎの仲間、5 年付き合った恋人（学校の事務職）</t>
        </is>
      </c>
      <c r="J79" s="12" t="inlineStr">
        <is>
          <t>2016 年、恋人がブリストルでの仕事を選び、一緒に行くか迷った末に川に残ることを選んで別れる。その冬から木曜のパブのセッションに通い始めた。</t>
        </is>
      </c>
      <c r="K79" s="12" t="inlineStr">
        <is>
          <t>川を離れられなかった自分を責めた。でも鉋をかけているときだけは迷いがなかった。</t>
        </is>
      </c>
      <c r="L79" s="13" t="inlineStr">
        <is>
          <t>○</t>
        </is>
      </c>
    </row>
    <row r="80">
      <c r="A80" s="39" t="inlineStr">
        <is>
          <t>tidewool</t>
        </is>
      </c>
      <c r="B80" s="27" t="inlineStr">
        <is>
          <t>gethin</t>
        </is>
      </c>
      <c r="C80" s="13" t="inlineStr">
        <is>
          <t>採用</t>
        </is>
      </c>
      <c r="D80" s="13" t="n">
        <v>28</v>
      </c>
      <c r="E80" s="13" t="n">
        <v>31</v>
      </c>
      <c r="F80" s="12" t="inlineStr">
        <is>
          <t>2018〜2021</t>
        </is>
      </c>
      <c r="G80" s="12" t="inlineStr">
        <is>
          <t>ペンリン／ソルヴァの実家との往復</t>
        </is>
      </c>
      <c r="H80" s="12" t="inlineStr">
        <is>
          <t>ボートヤード勤務。2020 年春から一時帰休になり、借りた納屋で過ごす時間が増えた。</t>
        </is>
      </c>
      <c r="I80" s="12" t="inlineStr">
        <is>
          <t>アイラ、セッションの仲間、ボートヤードの同僚、両親</t>
        </is>
      </c>
      <c r="J80" s="12" t="inlineStr">
        <is>
          <t>2018 年 10 月、セッションで編み物をしていたアイラの無伴奏の歌に和音を足す。2019 年 11 月に彼女が帰国。一時帰休中は納屋で 1 人で小さな手漕ぎ船を作りながら、毎晩声のメモを送った。2021 年 11 月に父が心臓のバイパス手術を受け、2 か月間、毎週末ソルヴァまで 5 時間半運転した。</t>
        </is>
      </c>
      <c r="K80" s="12" t="inlineStr">
        <is>
          <t>大事な人がみんな遠かった。運転と作業の時間だけが、心配を手で引き受けてくれた。</t>
        </is>
      </c>
      <c r="L80" s="13" t="inlineStr">
        <is>
          <t>○</t>
        </is>
      </c>
    </row>
    <row r="81">
      <c r="A81" s="39" t="inlineStr">
        <is>
          <t>tidewool</t>
        </is>
      </c>
      <c r="B81" s="27" t="inlineStr">
        <is>
          <t>gethin</t>
        </is>
      </c>
      <c r="C81" s="13" t="inlineStr">
        <is>
          <t>採用</t>
        </is>
      </c>
      <c r="D81" s="13" t="n">
        <v>32</v>
      </c>
      <c r="E81" s="13" t="n">
        <v>36</v>
      </c>
      <c r="F81" s="12" t="inlineStr">
        <is>
          <t>2022〜2026</t>
        </is>
      </c>
      <c r="G81" s="12" t="inlineStr">
        <is>
          <t>コーンウォール・ペンリン</t>
        </is>
      </c>
      <c r="H81" s="12" t="inlineStr">
        <is>
          <t>2022 年 2 月に結婚。ボートヤードで働きながら、2 人で TIDEWOOL として活動する。</t>
        </is>
      </c>
      <c r="I81" s="12" t="inlineStr">
        <is>
          <t>アイラ、ボートヤードの同僚、市場の仲間、ソルヴァの両親</t>
        </is>
      </c>
      <c r="J81" s="12" t="inlineStr">
        <is>
          <t>2025 年、ボートヤードの敷地の半分が川沿いの住宅開発に売られ、勤務が週 5 日から 3 日に減る。空いた日を録音と個人の修理の仕事にあてている。2026 年 9 月、父がソルヴァの作業場の半分を若い船大工に貸すと決めた。</t>
        </is>
      </c>
      <c r="K81" s="12" t="inlineStr">
        <is>
          <t>仕事が減った不安と、歌に時間を使える少し後ろめたい喜び。家業を継がないことに、少しずつ折り合いをつけている。</t>
        </is>
      </c>
      <c r="L81" s="13" t="inlineStr">
        <is>
          <t>○</t>
        </is>
      </c>
    </row>
    <row r="82">
      <c r="A82" s="39" t="inlineStr">
        <is>
          <t>tidewool</t>
        </is>
      </c>
      <c r="B82" s="27" t="inlineStr">
        <is>
          <t>gethin</t>
        </is>
      </c>
      <c r="C82" s="13" t="inlineStr">
        <is>
          <t>採用</t>
        </is>
      </c>
      <c r="D82" s="13" t="n">
        <v>37</v>
      </c>
      <c r="E82" s="13" t="n">
        <v>40</v>
      </c>
      <c r="F82" s="12" t="inlineStr">
        <is>
          <t>2027〜2030</t>
        </is>
      </c>
      <c r="G82" s="12" t="inlineStr">
        <is>
          <t>コーンウォール・ペンリンとウェールズ・ソルヴァ</t>
        </is>
      </c>
      <c r="H82" s="12" t="inlineStr">
        <is>
          <t>（これから）ボートヤードの仕事を続けつつ、自分の小さな作業場を持ちたい。</t>
        </is>
      </c>
      <c r="I82" s="12" t="inlineStr">
        <is>
          <t>アイラ、両親、妹</t>
        </is>
      </c>
      <c r="J82" s="12" t="inlineStr">
        <is>
          <t>アイラと 2 人で重ね張り（クリンカー）の小さな手漕ぎ船を作り、その船で海岸の町を回って演奏する。父の作業場をこの先どうするか、家族で決める。</t>
        </is>
      </c>
      <c r="K82" s="12" t="inlineStr">
        <is>
          <t>木が乾くのを待つように、急がずに決めたい。</t>
        </is>
      </c>
      <c r="L82" s="13" t="inlineStr"/>
    </row>
  </sheetData>
  <autoFilter ref="A1:L82"/>
  <conditionalFormatting sqref="C2:C581">
    <cfRule type="cellIs" priority="1" operator="equal" dxfId="0">
      <formula>"提案"</formula>
    </cfRule>
    <cfRule type="cellIs" priority="2" operator="equal" dxfId="1">
      <formula>"採用"</formula>
    </cfRule>
    <cfRule type="cellIs" priority="3" operator="equal" dxfId="2">
      <formula>"保留"</formula>
    </cfRule>
    <cfRule type="cellIs" priority="4" operator="equal" dxfId="3">
      <formula>"却下"</formula>
    </cfRule>
    <cfRule type="cellIs" priority="5" operator="equal" dxfId="4">
      <formula>"反映済み"</formula>
    </cfRule>
  </conditionalFormatting>
  <conditionalFormatting sqref="A2:L581">
    <cfRule type="expression" priority="6" dxfId="5">
      <formula>$C2="却下"</formula>
    </cfRule>
  </conditionalFormatting>
  <conditionalFormatting sqref="B2:L581">
    <cfRule type="expression" priority="7" dxfId="6">
      <formula>AND($A2&lt;&gt;"",MOD(ROW(),2)=0)</formula>
    </cfRule>
  </conditionalFormatting>
  <conditionalFormatting sqref="A2:A581">
    <cfRule type="cellIs" priority="8" operator="equal" dxfId="7">
      <formula>"declan_fay"</formula>
    </cfRule>
    <cfRule type="cellIs" priority="9" operator="equal" dxfId="8">
      <formula>"hollowplan"</formula>
    </cfRule>
    <cfRule type="cellIs" priority="10" operator="equal" dxfId="9">
      <formula>"nao_easterly"</formula>
    </cfRule>
    <cfRule type="cellIs" priority="11" operator="equal" dxfId="10">
      <formula>"soft_cantilever"</formula>
    </cfRule>
    <cfRule type="cellIs" priority="12" operator="equal" dxfId="11">
      <formula>"tidewool"</formula>
    </cfRule>
  </conditionalFormatting>
  <dataValidations count="2">
    <dataValidation sqref="L2:L581" showDropDown="0" showInputMessage="0" showErrorMessage="0" allowBlank="1" errorTitle="選べる値" error="一覧から選んでください（空欄も可）" type="list">
      <formula1>"○"</formula1>
    </dataValidation>
    <dataValidation sqref="C2:C581" showDropDown="0" showInputMessage="0" showErrorMessage="0" allowBlank="1" errorTitle="選べる値" error="一覧から選んでください（空欄も可）" type="list">
      <formula1>"提案,採用,保留,却下,反映済み"</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B89B72"/>
    <outlinePr summaryBelow="1" summaryRight="1"/>
    <pageSetUpPr/>
  </sheetPr>
  <dimension ref="A1:G2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9" customWidth="1" min="2" max="2"/>
    <col width="18" customWidth="1" min="3" max="3"/>
    <col width="26" customWidth="1" min="4" max="4"/>
    <col width="40" customWidth="1" min="5" max="5"/>
    <col width="40" customWidth="1" min="6" max="6"/>
    <col width="40" customWidth="1" min="7" max="7"/>
  </cols>
  <sheetData>
    <row r="1" ht="32" customHeight="1">
      <c r="A1" s="19" t="inlineStr">
        <is>
          <t>アーティストID</t>
        </is>
      </c>
      <c r="B1" s="19" t="inlineStr">
        <is>
          <t>状態</t>
        </is>
      </c>
      <c r="C1" s="19" t="inlineStr">
        <is>
          <t>時期</t>
        </is>
      </c>
      <c r="D1" s="19" t="inlineStr">
        <is>
          <t>場（路上・ライブハウス・配信・大会・学園祭・SNS など）</t>
        </is>
      </c>
      <c r="E1" s="19" t="inlineStr">
        <is>
          <t>やったこと</t>
        </is>
      </c>
      <c r="F1" s="19" t="inlineStr">
        <is>
          <t>反応・ファンの数</t>
        </is>
      </c>
      <c r="G1" s="19" t="inlineStr">
        <is>
          <t>転機</t>
        </is>
      </c>
    </row>
    <row r="2">
      <c r="A2" s="35" t="inlineStr">
        <is>
          <t>declan_fay</t>
        </is>
      </c>
      <c r="B2" s="13" t="inlineStr">
        <is>
          <t>採用</t>
        </is>
      </c>
      <c r="C2" s="12" t="inlineStr">
        <is>
          <t>2021 年 10 月〜2022 年 6 月</t>
        </is>
      </c>
      <c r="D2" s="12" t="inlineStr">
        <is>
          <t>ラジオ（勤務先のコミュニティ FM・木曜深夜 2:00〜2:30 の枠）</t>
        </is>
      </c>
      <c r="E2" s="12" t="inlineStr">
        <is>
          <t>『Fay’s Road Hours』という 30 分枠を始め、自作のインスト 3〜4 曲と短い語り、父が残したテープから拾った昔の深夜ラジオの断片を流した。</t>
        </is>
      </c>
      <c r="F2" s="12" t="inlineStr">
        <is>
          <t>番組のメッセージ欄に毎週 5〜10 通。夜勤の看護師・深夜まで勉強する受験生・長距離トラックの運転手・タクシー運転手が中心で、ネット配信の同時聴取は約 150 人。</t>
        </is>
      </c>
      <c r="G2" s="12" t="inlineStr">
        <is>
          <t>常連の夜勤看護師から『語りの入った曲だけで 1 本にして』と頼まれ、語りを歌に変え始めた。</t>
        </is>
      </c>
    </row>
    <row r="3">
      <c r="A3" s="35" t="inlineStr">
        <is>
          <t>declan_fay</t>
        </is>
      </c>
      <c r="B3" s="13" t="inlineStr">
        <is>
          <t>採用</t>
        </is>
      </c>
      <c r="C3" s="12" t="inlineStr">
        <is>
          <t>2022 年 9 月</t>
        </is>
      </c>
      <c r="D3" s="12" t="inlineStr">
        <is>
          <t>店（クイーン・ストリート・ウエストの中古レコード店）と Bandcamp</t>
        </is>
      </c>
      <c r="E3" s="12" t="inlineStr">
        <is>
          <t>番組で流した 6 曲を手書きラベルのカセット 50 本にして委託販売。12 本はコークの家族と友人に送った。</t>
        </is>
      </c>
      <c r="F3" s="12" t="inlineStr">
        <is>
          <t>3 週間で完売。Bandcamp と SNS のフォロワーは合わせて 120 → 600。</t>
        </is>
      </c>
      <c r="G3" s="12" t="inlineStr">
        <is>
          <t>店主が閉店前の BGM に使い始め、店の客から番組を知る人が出てきた。</t>
        </is>
      </c>
    </row>
    <row r="4">
      <c r="A4" s="35" t="inlineStr">
        <is>
          <t>declan_fay</t>
        </is>
      </c>
      <c r="B4" s="13" t="inlineStr">
        <is>
          <t>採用</t>
        </is>
      </c>
      <c r="C4" s="12" t="inlineStr">
        <is>
          <t>2023 年 3 月</t>
        </is>
      </c>
      <c r="D4" s="12" t="inlineStr">
        <is>
          <t>動画サイトと夜のドライブ映像を集める掲示板（SNS）</t>
        </is>
      </c>
      <c r="E4" s="12" t="inlineStr">
        <is>
          <t>午前 3 時 12 分のガーディナー高速を東へ走る長回しのダッシュカム映像に、新曲を 1 曲合わせて投稿した。</t>
        </is>
      </c>
      <c r="F4" s="12" t="inlineStr">
        <is>
          <t>2 か月で約 8 万回再生。コメントは北米・イギリス・アイルランドの夜勤の人が多く、フォロワーは 600 → 4,500。</t>
        </is>
      </c>
      <c r="G4" s="12" t="inlineStr">
        <is>
          <t>顔を出さず、時刻と道路だけを見せる形がこの活動の型になった。</t>
        </is>
      </c>
    </row>
    <row r="5">
      <c r="A5" s="35" t="inlineStr">
        <is>
          <t>declan_fay</t>
        </is>
      </c>
      <c r="B5" s="13" t="inlineStr">
        <is>
          <t>採用</t>
        </is>
      </c>
      <c r="C5" s="12" t="inlineStr">
        <is>
          <t>2024 年 1 月〜2025 年</t>
        </is>
      </c>
      <c r="D5" s="12" t="inlineStr">
        <is>
          <t>ライブハウス代わりのバー（ジャンクション地区・定員 60 人）の月 1 回のコンサート</t>
        </is>
      </c>
      <c r="E5" s="12" t="inlineStr">
        <is>
          <t>『Last Call Loop』と名付けた 40 分のセット。バックトラックとシンセと父のラジカセで演奏し、照明は街灯色の 1 灯を背にした逆光だけ。</t>
        </is>
      </c>
      <c r="F5" s="12" t="inlineStr">
        <is>
          <t>初回 14 人 → 1 年後はほぼ毎回 55〜60 人。仕事前のタクシー運転手や夜勤明けの人が寄る場所になり、フォロワーは 4,500 → 11,000。</t>
        </is>
      </c>
      <c r="G5" s="12" t="inlineStr">
        <is>
          <t>店主マルタが枠を毎月に固定し、客が撮った逆光の後ろ姿の写真が広まった。</t>
        </is>
      </c>
    </row>
    <row r="6">
      <c r="A6" s="35" t="inlineStr">
        <is>
          <t>declan_fay</t>
        </is>
      </c>
      <c r="B6" s="13" t="inlineStr">
        <is>
          <t>採用</t>
        </is>
      </c>
      <c r="C6" s="12" t="inlineStr">
        <is>
          <t>2025 年 7 月</t>
        </is>
      </c>
      <c r="D6" s="12" t="inlineStr">
        <is>
          <t>コーク市内の小さなライブバー（帰省中）と地元のコミュニティラジオ</t>
        </is>
      </c>
      <c r="E6" s="12" t="inlineStr">
        <is>
          <t>妹に頼まれて 1 回だけ 35 分のセットを演奏。翌日、地元ラジオに 15 分の電話出演をした。</t>
        </is>
      </c>
      <c r="F6" s="12" t="inlineStr">
        <is>
          <t>客は約 80 人で半分は親戚と同級生。故郷とイギリスの聴き手が増え、フォロワーは 11,000 → 14,000。</t>
        </is>
      </c>
      <c r="G6" s="12" t="inlineStr">
        <is>
          <t>終演後、母が初めて『Your da would've liked that』と言った。トロントに戻ってすぐ、DistroKid で正式に配信すると決めた。</t>
        </is>
      </c>
    </row>
    <row r="7">
      <c r="A7" s="36" t="inlineStr">
        <is>
          <t>hollowplan</t>
        </is>
      </c>
      <c r="B7" s="13" t="inlineStr">
        <is>
          <t>採用</t>
        </is>
      </c>
      <c r="C7" s="12" t="inlineStr">
        <is>
          <t>2020 年 5 月〜12 月</t>
        </is>
      </c>
      <c r="D7" s="12" t="inlineStr">
        <is>
          <t>SoundCloud（配信サイト）</t>
        </is>
      </c>
      <c r="E7" s="12" t="inlineStr">
        <is>
          <t>一時帰休中、毎晩 1 本ずつ 2〜3 分のスケッチを上げた。題は『Plan 01』から番号順。自分の息とハミングを 1 拍ずつ切って並べたもの。</t>
        </is>
      </c>
      <c r="F7" s="12" t="inlineStr">
        <is>
          <t>フォロワー 0 → 300。建築学生と宅録仲間が中心。リスボンの見知らぬ人が『夜に図面を描くための』プレイリストに 6 曲入れた。</t>
        </is>
      </c>
      <c r="G7" s="12" t="inlineStr">
        <is>
          <t>言葉が無くても、息の音が『誰かいる』感じを伝えられると分かった。</t>
        </is>
      </c>
    </row>
    <row r="8">
      <c r="A8" s="36" t="inlineStr">
        <is>
          <t>hollowplan</t>
        </is>
      </c>
      <c r="B8" s="13" t="inlineStr">
        <is>
          <t>採用</t>
        </is>
      </c>
      <c r="C8" s="12" t="inlineStr">
        <is>
          <t>2021 年 9 月〜2022 年 6 月</t>
        </is>
      </c>
      <c r="D8" s="12" t="inlineStr">
        <is>
          <t>Instagram（工房の手元の動画）</t>
        </is>
      </c>
      <c r="E8" s="12" t="inlineStr">
        <is>
          <t>模型の中庭をカッターでくり抜く手元のタイムラプスに、自作曲を付けて投稿した。</t>
        </is>
      </c>
      <c r="F8" s="12" t="inlineStr">
        <is>
          <t>1:200 の集合住宅の中庭を抜く 40 秒の動画が 18 万回再生。全体のフォロワー 300 → 2,800。設計事務所の人や模型職人から『この曲は何？』のコメント。</t>
        </is>
      </c>
      <c r="G8" s="12" t="inlineStr">
        <is>
          <t>建築の世界の人が、自分の音を『仕事中の音』として使い始めた。</t>
        </is>
      </c>
    </row>
    <row r="9">
      <c r="A9" s="36" t="inlineStr">
        <is>
          <t>hollowplan</t>
        </is>
      </c>
      <c r="B9" s="13" t="inlineStr">
        <is>
          <t>採用</t>
        </is>
      </c>
      <c r="C9" s="12" t="inlineStr">
        <is>
          <t>2022 年 7 月〜2023 年 11 月</t>
        </is>
      </c>
      <c r="D9" s="12" t="inlineStr">
        <is>
          <t>ハックニー・ウィックのコミュニティラジオ（コンテナの小さな局）</t>
        </is>
      </c>
      <c r="E9" s="12" t="inlineStr">
        <is>
          <t>友人の DJ ファンミが深夜 2 時台に『Courtyard, Kumasi』をかけ、その後 1 時間のゲスト枠に何度か呼ばれた。</t>
        </is>
      </c>
      <c r="F9" s="12" t="inlineStr">
        <is>
          <t>全体のフォロワー 2,800 → 4,500。夜勤の看護師・タクシー運転手・パン職人から『帰り道に聴いた』というメッセージ。</t>
        </is>
      </c>
      <c r="G9" s="12" t="inlineStr">
        <is>
          <t>夜に働く人、夜に移動する人に届く音だと気づいた。</t>
        </is>
      </c>
    </row>
    <row r="10">
      <c r="A10" s="36" t="inlineStr">
        <is>
          <t>hollowplan</t>
        </is>
      </c>
      <c r="B10" s="13" t="inlineStr">
        <is>
          <t>採用</t>
        </is>
      </c>
      <c r="C10" s="12" t="inlineStr">
        <is>
          <t>2024 年 3 月</t>
        </is>
      </c>
      <c r="D10" s="12" t="inlineStr">
        <is>
          <t>YouTube</t>
        </is>
      </c>
      <c r="E10" s="12" t="inlineStr">
        <is>
          <t>父の入院中に夜行バスで作った曲を、42 分の切れ目のないミックスにして公開。静止画は街灯が流れるバスの窓。</t>
        </is>
      </c>
      <c r="F10" s="12" t="inlineStr">
        <is>
          <t>4 か月で 21 万回再生、チャンネル登録 600 → 9,000。『3 時の M1 にちょうどいい』『夜勤明けの帰り道に』というコメント。長距離トラックの運転手からメールも届いた。全体のフォロワーは約 11,000 に。</t>
        </is>
      </c>
      <c r="G10" s="12" t="inlineStr">
        <is>
          <t>自分の音が、長距離の無心の区間のためにあると分かった。</t>
        </is>
      </c>
    </row>
    <row r="11">
      <c r="A11" s="36" t="inlineStr">
        <is>
          <t>hollowplan</t>
        </is>
      </c>
      <c r="B11" s="13" t="inlineStr">
        <is>
          <t>採用</t>
        </is>
      </c>
      <c r="C11" s="12" t="inlineStr">
        <is>
          <t>2025 年 6 月</t>
        </is>
      </c>
      <c r="D11" s="12" t="inlineStr">
        <is>
          <t>リーズ・チャペル・アラートンの小さなバー（初めてのライブ）</t>
        </is>
      </c>
      <c r="E11" s="12" t="inlineStr">
        <is>
          <t>地元で 90 分のライブ。ラップトップとエレピに、工房の素材（定規・紙・やすり）を手で鳴らす音を重ねた。両親と弟が来た。</t>
        </is>
      </c>
      <c r="F11" s="12" t="inlineStr">
        <is>
          <t>約 120 人。父は一番後ろで耳栓をして最後まで座っていた。終演後、父はトウィ語で『Ɛyɛ（いいね）』とだけ言った。</t>
        </is>
      </c>
      <c r="G11" s="12" t="inlineStr">
        <is>
          <t>親の前で、自分の選んだ仕事と音をそのまま見せられた。</t>
        </is>
      </c>
    </row>
    <row r="12">
      <c r="A12" s="36" t="inlineStr">
        <is>
          <t>hollowplan</t>
        </is>
      </c>
      <c r="B12" s="13" t="inlineStr">
        <is>
          <t>採用</t>
        </is>
      </c>
      <c r="C12" s="12" t="inlineStr">
        <is>
          <t>2026 年 4 月</t>
        </is>
      </c>
      <c r="D12" s="12" t="inlineStr">
        <is>
          <t>レーベル（EtherArchi）</t>
        </is>
      </c>
      <c r="E12" s="12" t="inlineStr">
        <is>
          <t>夜行バスのミックスを聴いたレーベルから、所属と、他の 4 組のリミックス役の誘いを受け、DistroKid での配信を準備。</t>
        </is>
      </c>
      <c r="F12" s="12" t="inlineStr">
        <is>
          <t>各 SNS の合計フォロワー約 14,000。最初のシングルは秋の予定。</t>
        </is>
      </c>
      <c r="G12" s="12" t="inlineStr">
        <is>
          <t>ひとりで作ってきた夜の音が、他の 4 組をつなぐ役目になった。</t>
        </is>
      </c>
    </row>
    <row r="13">
      <c r="A13" s="37" t="inlineStr">
        <is>
          <t>nao_easterly</t>
        </is>
      </c>
      <c r="B13" s="13" t="inlineStr">
        <is>
          <t>採用</t>
        </is>
      </c>
      <c r="C13" s="12" t="inlineStr">
        <is>
          <t>2022 年 6 月〜2023 年 1 月</t>
        </is>
      </c>
      <c r="D13" s="12" t="inlineStr">
        <is>
          <t>函館・大門の小さなライブバーの月 1 回のオープンマイク</t>
        </is>
      </c>
      <c r="E13" s="12" t="inlineStr">
        <is>
          <t>キーボード 1 台で英語の自作曲を 2〜3 曲。曲の合間は日本語で、祖母の朝市の話をした。</t>
        </is>
      </c>
      <c r="F13" s="12" t="inlineStr">
        <is>
          <t>客は毎回 15〜20 人。常連の漁師の息子に「朝の歌だな」と言われ、2 回目から出番を名指しで頼まれるようになった。</t>
        </is>
      </c>
      <c r="G13" s="12" t="inlineStr">
        <is>
          <t>人前で自作曲を歌えると分かり、ギタリストの 浩平から宅録の基本を教わった。</t>
        </is>
      </c>
    </row>
    <row r="14">
      <c r="A14" s="37" t="inlineStr">
        <is>
          <t>nao_easterly</t>
        </is>
      </c>
      <c r="B14" s="13" t="inlineStr">
        <is>
          <t>採用</t>
        </is>
      </c>
      <c r="C14" s="12" t="inlineStr">
        <is>
          <t>2023 年 11 月〜2024 年 12 月</t>
        </is>
      </c>
      <c r="D14" s="12" t="inlineStr">
        <is>
          <t>SNS（短い動画の投稿）</t>
        </is>
      </c>
      <c r="E14" s="12" t="inlineStr">
        <is>
          <t>配送バンのダッシュボードにスマートフォンを置き、日の出の 30 秒と歌の断片を毎朝投稿。映るのは手とフロントガラスだけで、キャプションはその朝の日の出時刻だけ。</t>
        </is>
      </c>
      <c r="F14" s="12" t="inlineStr">
        <is>
          <t>フォロワー 300 → 4,000（約 1 年）。夜勤明けの看護師・トラック運転手・パン職人など、同じ時間に起きている人たちがコメントを残した。</t>
        </is>
      </c>
      <c r="G14" s="12" t="inlineStr">
        <is>
          <t>「明日の日の出は何時？」と聞かれるようになり、投稿が誰かの朝の習慣になった。</t>
        </is>
      </c>
    </row>
    <row r="15">
      <c r="A15" s="37" t="inlineStr">
        <is>
          <t>nao_easterly</t>
        </is>
      </c>
      <c r="B15" s="13" t="inlineStr">
        <is>
          <t>採用</t>
        </is>
      </c>
      <c r="C15" s="12" t="inlineStr">
        <is>
          <t>2025 年 2 月</t>
        </is>
      </c>
      <c r="D15" s="12" t="inlineStr">
        <is>
          <t>ポートランドのコミュニティ FM の早朝番組（朝 5〜7 時の地元音楽枠）</t>
        </is>
      </c>
      <c r="E15" s="12" t="inlineStr">
        <is>
          <t>配送ルートの最後のカフェの店主がデモ 2 曲を番組の DJ に渡し、3 週続けてかかった。</t>
        </is>
      </c>
      <c r="F15" s="12" t="inlineStr">
        <is>
          <t>番組への問い合わせが約 40 件。フォロワー 4,000 → 9,000。</t>
        </is>
      </c>
      <c r="G15" s="12" t="inlineStr">
        <is>
          <t>知らない人から「ラジオで聴いた」と初めてメッセージが来て、録音をきちんと整えると決めた。</t>
        </is>
      </c>
    </row>
    <row r="16">
      <c r="A16" s="37" t="inlineStr">
        <is>
          <t>nao_easterly</t>
        </is>
      </c>
      <c r="B16" s="13" t="inlineStr">
        <is>
          <t>採用</t>
        </is>
      </c>
      <c r="C16" s="12" t="inlineStr">
        <is>
          <t>2025 年 4 月〜12 月</t>
        </is>
      </c>
      <c r="D16" s="12" t="inlineStr">
        <is>
          <t>配送先のカフェ 3 軒の開店前の BGM</t>
        </is>
      </c>
      <c r="E16" s="12" t="inlineStr">
        <is>
          <t>開店準備の 6 時台にデモを流してもらい、レジ横に手書きのカードを置いた。</t>
        </is>
      </c>
      <c r="F16" s="12" t="inlineStr">
        <is>
          <t>客が店員に曲の名前を聞くようになる。フォロワー 9,000 → 16,000。</t>
        </is>
      </c>
      <c r="G16" s="12" t="inlineStr">
        <is>
          <t>場所と時間に合う音楽として求められていると分かった。</t>
        </is>
      </c>
    </row>
    <row r="17">
      <c r="A17" s="37" t="inlineStr">
        <is>
          <t>nao_easterly</t>
        </is>
      </c>
      <c r="B17" s="13" t="inlineStr">
        <is>
          <t>採用</t>
        </is>
      </c>
      <c r="C17" s="12" t="inlineStr">
        <is>
          <t>2026 年 3 月 20 日（24 歳の誕生日・春分）</t>
        </is>
      </c>
      <c r="D17" s="12" t="inlineStr">
        <is>
          <t>コロンビア川沿いの州立公園の展望駐車場（84 号線の東行き）からのライブ配信</t>
        </is>
      </c>
      <c r="E17" s="12" t="inlineStr">
        <is>
          <t>日の出の 6 分間だけ、停めた車の中から 2 曲を歌って配信した。</t>
        </is>
      </c>
      <c r="F17" s="12" t="inlineStr">
        <is>
          <t>同時視聴 1,200 人・アーカイブ 6 万回再生。フォロワー 16,000 → 24,000。</t>
        </is>
      </c>
      <c r="G17" s="12" t="inlineStr">
        <is>
          <t>配信を見たレーベルから 5 月に連絡が来て、最初のシングルを DistroKid で配信することが決まった。</t>
        </is>
      </c>
    </row>
    <row r="18">
      <c r="A18" s="38" t="inlineStr">
        <is>
          <t>soft_cantilever</t>
        </is>
      </c>
      <c r="B18" s="13" t="inlineStr">
        <is>
          <t>採用</t>
        </is>
      </c>
      <c r="C18" s="12" t="inlineStr">
        <is>
          <t>2018 年 11 月</t>
        </is>
      </c>
      <c r="D18" s="12" t="inlineStr">
        <is>
          <t>学園祭（建築学部の学年末展示のオープニング・吹き抜けのアトリウム）</t>
        </is>
      </c>
      <c r="E18" s="12" t="inlineStr">
        <is>
          <t>模型の展示台の間で、3 人で初めて人前で演奏。80 年代ふうのカバー 3 曲とオリジナル 1 曲。</t>
        </is>
      </c>
      <c r="F18" s="12" t="inlineStr">
        <is>
          <t>学生と講師およそ 150 人。スマホの動画が学部内で回り、Instagram を作って最初のフォロワーは 80。</t>
        </is>
      </c>
      <c r="G18" s="12" t="inlineStr">
        <is>
          <t>構造の講師に『あの課題の班か、片持ちのバンドだな』と言われ、課題の名前をそのままバンド名にした。</t>
        </is>
      </c>
    </row>
    <row r="19">
      <c r="A19" s="38" t="inlineStr">
        <is>
          <t>soft_cantilever</t>
        </is>
      </c>
      <c r="B19" s="13" t="inlineStr">
        <is>
          <t>採用</t>
        </is>
      </c>
      <c r="C19" s="12" t="inlineStr">
        <is>
          <t>2019 年 2 月〜2020 年 2 月</t>
        </is>
      </c>
      <c r="D19" s="12" t="inlineStr">
        <is>
          <t>ルーフトップとオープンマイク（Collingwood の友人の倉庫の屋上・Brunswick のバーの月曜オープンマイク）</t>
        </is>
      </c>
      <c r="E19" s="12" t="inlineStr">
        <is>
          <t>月 1 回、倉庫の屋上で日没前に終わる『昼だけのライブ』。月曜はバーのオープンマイクで新曲を試した。</t>
        </is>
      </c>
      <c r="F19" s="12" t="inlineStr">
        <is>
          <t>屋上は 20〜60 人。フォロワー 80 → 900。来るのは建築とデザインの学生と近所の人。</t>
        </is>
      </c>
      <c r="G19" s="12" t="inlineStr">
        <is>
          <t>昼の光の中でやるほうが自分たちの音に合うと気づき、夜より昼の演奏を選ぶようになった。</t>
        </is>
      </c>
    </row>
    <row r="20">
      <c r="A20" s="38" t="inlineStr">
        <is>
          <t>soft_cantilever</t>
        </is>
      </c>
      <c r="B20" s="13" t="inlineStr">
        <is>
          <t>採用</t>
        </is>
      </c>
      <c r="C20" s="12" t="inlineStr">
        <is>
          <t>2020 年 4 月〜2021 年 10 月</t>
        </is>
      </c>
      <c r="D20" s="12" t="inlineStr">
        <is>
          <t>配信と SNS（ロックダウン中のオンライン）</t>
        </is>
      </c>
      <c r="E20" s="12" t="inlineStr">
        <is>
          <t>3 人が別々の部屋から、ビアが方眼紙に描いた曲の断面図を画面に映しながら 30 秒ずつ曲を組み立てる動画を 40 本投稿した。</t>
        </is>
      </c>
      <c r="F20" s="12" t="inlineStr">
        <is>
          <t>フォロワー 900 → 3,200。海外の建築学生や、移民 2 世からのコメントが増えた。</t>
        </is>
      </c>
      <c r="G20" s="12" t="inlineStr">
        <is>
          <t>『曲の設計図が見える』ことが面白がられ、図面と寸法線が組の見た目になった。</t>
        </is>
      </c>
    </row>
    <row r="21">
      <c r="A21" s="38" t="inlineStr">
        <is>
          <t>soft_cantilever</t>
        </is>
      </c>
      <c r="B21" s="13" t="inlineStr">
        <is>
          <t>採用</t>
        </is>
      </c>
      <c r="C21" s="12" t="inlineStr">
        <is>
          <t>2022 年 3 月〜2023 年 11 月</t>
        </is>
      </c>
      <c r="D21" s="12" t="inlineStr">
        <is>
          <t>ライブハウス（Northcote と Fitzroy の 100〜200 人規模の小さな会場）</t>
        </is>
      </c>
      <c r="E21" s="12" t="inlineStr">
        <is>
          <t>仕事終わりの金曜に月 1〜2 本。会場限定の 4 曲入りカセットを 300 本手作りして売った。</t>
        </is>
      </c>
      <c r="F21" s="12" t="inlineStr">
        <is>
          <t>動員 30 → 150 人。カセットは 2 年で完売。フォロワー 3,500。</t>
        </is>
      </c>
      <c r="G21" s="12" t="inlineStr">
        <is>
          <t>仕事を辞めずに続けられるペースを守るため、遠征より『近所で長く』を選んだ。</t>
        </is>
      </c>
    </row>
    <row r="22">
      <c r="A22" s="38" t="inlineStr">
        <is>
          <t>soft_cantilever</t>
        </is>
      </c>
      <c r="B22" s="13" t="inlineStr">
        <is>
          <t>採用</t>
        </is>
      </c>
      <c r="C22" s="12" t="inlineStr">
        <is>
          <t>2023 年 12 月〜2024 年 2 月</t>
        </is>
      </c>
      <c r="D22" s="12" t="inlineStr">
        <is>
          <t>ロードトリップの動画（Hume Freeway 沿いのサービスエリア 8 か所）</t>
        </is>
      </c>
      <c r="E22" s="12" t="inlineStr">
        <is>
          <t>メルボルンからシドニーまで 3 日かけて走り、休憩のたびにバンの横で 1 曲ずつ生演奏した『Servo Sessions』8 本を公開。</t>
        </is>
      </c>
      <c r="F22" s="12" t="inlineStr">
        <is>
          <t>Holbrook の公園の潜水艦の前で撮った回が 120 万回再生。フォロワー 3,500 → 46,000。長距離トラックの運転手やキャンピングカーの年配の夫婦からコメントが届いた。</t>
        </is>
      </c>
      <c r="G22" s="12" t="inlineStr">
        <is>
          <t>『ドライブ中に聴く歌を作るバンド』だと、自分たちで初めて言えるようになった。</t>
        </is>
      </c>
    </row>
    <row r="23">
      <c r="A23" s="38" t="inlineStr">
        <is>
          <t>soft_cantilever</t>
        </is>
      </c>
      <c r="B23" s="13" t="inlineStr">
        <is>
          <t>採用</t>
        </is>
      </c>
      <c r="C23" s="12" t="inlineStr">
        <is>
          <t>2025 年 3 月〜2026 年 9 月</t>
        </is>
      </c>
      <c r="D23" s="12" t="inlineStr">
        <is>
          <t>ラジオと店の BGM（メルボルンのコミュニティラジオの昼の番組・Wallan のサービスエリアのカフェ）</t>
        </is>
      </c>
      <c r="E23" s="12" t="inlineStr">
        <is>
          <t>コミュニティラジオで 2 回生演奏。Wallan のサービスエリアのカフェが、カセットの音源を昼の BGM に流してくれた。</t>
        </is>
      </c>
      <c r="F23" s="12" t="inlineStr">
        <is>
          <t>ラジオのあとにメール登録 2,800 人。フォロワーは 60,000 前後。</t>
        </is>
      </c>
      <c r="G23" s="12" t="inlineStr">
        <is>
          <t>『車で聴いて良くなければ出さない』という基準で全曲を録り直し、2026 年 10 月に DistroKid で初めて正式に配信すると決めた。</t>
        </is>
      </c>
    </row>
    <row r="24">
      <c r="A24" s="39" t="inlineStr">
        <is>
          <t>tidewool</t>
        </is>
      </c>
      <c r="B24" s="13" t="inlineStr">
        <is>
          <t>採用</t>
        </is>
      </c>
      <c r="C24" s="12" t="inlineStr">
        <is>
          <t>2018 年 10 月〜2019 年 10 月</t>
        </is>
      </c>
      <c r="D24" s="12" t="inlineStr">
        <is>
          <t>ペンリンのパブの木曜の夜の伝統音楽セッション</t>
        </is>
      </c>
      <c r="E24" s="12" t="inlineStr">
        <is>
          <t>隅で編み物をしていたアイラが無伴奏で歌い、ゲシンがギターで和音を足す。その後は毎週、伝統曲と 2 人の自作を 2〜3 曲ずつ歌った。</t>
        </is>
      </c>
      <c r="F24" s="12" t="inlineStr">
        <is>
          <t>常連 20 人ほどが、2 人の番になると話をやめて聴くようになった。</t>
        </is>
      </c>
      <c r="G24" s="12" t="inlineStr">
        <is>
          <t>店主が毎月第 1 木曜の最後の 30 分を 2 人の時間に決めた。</t>
        </is>
      </c>
    </row>
    <row r="25">
      <c r="A25" s="39" t="inlineStr">
        <is>
          <t>tidewool</t>
        </is>
      </c>
      <c r="B25" s="13" t="inlineStr">
        <is>
          <t>採用</t>
        </is>
      </c>
      <c r="C25" s="12" t="inlineStr">
        <is>
          <t>2020 年 3 月〜2021 年 8 月</t>
        </is>
      </c>
      <c r="D25" s="12" t="inlineStr">
        <is>
          <t>アイラの編み物のライブ配信（週 1 回・オタゴの実家から）</t>
        </is>
      </c>
      <c r="E25" s="12" t="inlineStr">
        <is>
          <t>時差 12 時間を挟んで声のメモで作った曲を、編み物配信の BGM に流した。</t>
        </is>
      </c>
      <c r="F25" s="12" t="inlineStr">
        <is>
          <t>フォロワー 300 → 2,800 人。毎回『この曲は誰？』というコメントが付いた。</t>
        </is>
      </c>
      <c r="G25" s="12" t="inlineStr">
        <is>
          <t>曲名を聞かれ、仮の名前として TIDEWOOL と答えた。視聴者が曲の一覧を作り始めた。</t>
        </is>
      </c>
    </row>
    <row r="26">
      <c r="A26" s="39" t="inlineStr">
        <is>
          <t>tidewool</t>
        </is>
      </c>
      <c r="B26" s="13" t="inlineStr">
        <is>
          <t>採用</t>
        </is>
      </c>
      <c r="C26" s="12" t="inlineStr">
        <is>
          <t>2022 年 4 月〜2023 年</t>
        </is>
      </c>
      <c r="D26" s="12" t="inlineStr">
        <is>
          <t>トゥルーロのファーマーズマーケット（土曜）</t>
        </is>
      </c>
      <c r="E26" s="12" t="inlineStr">
        <is>
          <t>アイラの毛糸の屋台の横で、2 人で 3 曲ずつ歌う。手書きのカードに配信と動画の案内を載せて配った。</t>
        </is>
      </c>
      <c r="F26" s="12" t="inlineStr">
        <is>
          <t>毎週 20〜40 人が足を止め、メーリングリストが 0 → 450 人に。</t>
        </is>
      </c>
      <c r="G26" s="12" t="inlineStr">
        <is>
          <t>屋台の常連の漁師から、港の夏祭りに出ないかと声がかかった。</t>
        </is>
      </c>
    </row>
    <row r="27">
      <c r="A27" s="39" t="inlineStr">
        <is>
          <t>tidewool</t>
        </is>
      </c>
      <c r="B27" s="13" t="inlineStr">
        <is>
          <t>採用</t>
        </is>
      </c>
      <c r="C27" s="12" t="inlineStr">
        <is>
          <t>2023 年 8 月</t>
        </is>
      </c>
      <c r="D27" s="12" t="inlineStr">
        <is>
          <t>リザード半島の港町の小さな夏祭り（サブステージ）</t>
        </is>
      </c>
      <c r="E27" s="12" t="inlineStr">
        <is>
          <t>雨で屋外ステージが中止になり、魚市場の軒下に移って予定外に 40 分演奏した。</t>
        </is>
      </c>
      <c r="F27" s="12" t="inlineStr">
        <is>
          <t>傘を差した 150 人ほどが最後まで残り、その動画が地域の SNS で約 3 万回再生された。</t>
        </is>
      </c>
      <c r="G27" s="12" t="inlineStr">
        <is>
          <t>雨の中で歌う 2 人が『この町の天気に合う』と言われ、雨の日に録ることを自分たちの型にした。</t>
        </is>
      </c>
    </row>
    <row r="28">
      <c r="A28" s="39" t="inlineStr">
        <is>
          <t>tidewool</t>
        </is>
      </c>
      <c r="B28" s="13" t="inlineStr">
        <is>
          <t>採用</t>
        </is>
      </c>
      <c r="C28" s="12" t="inlineStr">
        <is>
          <t>2024 年〜2026 年春</t>
        </is>
      </c>
      <c r="D28" s="12" t="inlineStr">
        <is>
          <t>網小屋の『雨の日のセッション』動画（月 1 本）と地元のコミュニティラジオ</t>
        </is>
      </c>
      <c r="E28" s="12" t="inlineStr">
        <is>
          <t>ボートヤードの網小屋の 2 階で、雨の日だけ一発録りした動画を公開。日曜朝のラジオ番組で 3 曲が流れた。</t>
        </is>
      </c>
      <c r="F28" s="12" t="inlineStr">
        <is>
          <t>フォロワー 2,800 → 約 14,000 人。編み物の配信者たちが作業用 BGM として紹介し、北米と北欧の編み手が増えた。</t>
        </is>
      </c>
      <c r="G28" s="12" t="inlineStr">
        <is>
          <t>雨の日に海沿いを運転する人から『通勤の曲になった』という手紙が届き、ドライブで聴ける長さと揺れで曲を作り直して配信すると決めた。</t>
        </is>
      </c>
    </row>
  </sheetData>
  <autoFilter ref="A1:G28"/>
  <conditionalFormatting sqref="B2:B527">
    <cfRule type="cellIs" priority="1" operator="equal" dxfId="0">
      <formula>"提案"</formula>
    </cfRule>
    <cfRule type="cellIs" priority="2" operator="equal" dxfId="1">
      <formula>"採用"</formula>
    </cfRule>
    <cfRule type="cellIs" priority="3" operator="equal" dxfId="2">
      <formula>"保留"</formula>
    </cfRule>
    <cfRule type="cellIs" priority="4" operator="equal" dxfId="3">
      <formula>"却下"</formula>
    </cfRule>
    <cfRule type="cellIs" priority="5" operator="equal" dxfId="4">
      <formula>"反映済み"</formula>
    </cfRule>
  </conditionalFormatting>
  <conditionalFormatting sqref="A2:G527">
    <cfRule type="expression" priority="6" dxfId="5">
      <formula>$B2="却下"</formula>
    </cfRule>
  </conditionalFormatting>
  <conditionalFormatting sqref="B2:G527">
    <cfRule type="expression" priority="7" dxfId="6">
      <formula>AND($A2&lt;&gt;"",MOD(ROW(),2)=0)</formula>
    </cfRule>
  </conditionalFormatting>
  <conditionalFormatting sqref="A2:A527">
    <cfRule type="cellIs" priority="8" operator="equal" dxfId="7">
      <formula>"declan_fay"</formula>
    </cfRule>
    <cfRule type="cellIs" priority="9" operator="equal" dxfId="8">
      <formula>"hollowplan"</formula>
    </cfRule>
    <cfRule type="cellIs" priority="10" operator="equal" dxfId="9">
      <formula>"nao_easterly"</formula>
    </cfRule>
    <cfRule type="cellIs" priority="11" operator="equal" dxfId="10">
      <formula>"soft_cantilever"</formula>
    </cfRule>
    <cfRule type="cellIs" priority="12" operator="equal" dxfId="11">
      <formula>"tidewool"</formula>
    </cfRule>
  </conditionalFormatting>
  <dataValidations count="1">
    <dataValidation sqref="B2:B527" showDropDown="0" showInputMessage="0" showErrorMessage="0" allowBlank="1" errorTitle="選べる値" error="一覧から選んでください（空欄も可）" type="list">
      <formula1>"提案,採用,保留,却下,反映済み"</formula1>
    </dataValidation>
  </dataValidations>
  <pageMargins left="0.75" right="0.75" top="1" bottom="1" header="0.5" footer="0.5"/>
</worksheet>
</file>

<file path=xl/worksheets/sheet6.xml><?xml version="1.0" encoding="utf-8"?>
<worksheet xmlns="http://schemas.openxmlformats.org/spreadsheetml/2006/main">
  <sheetPr>
    <tabColor rgb="00B89B72"/>
    <outlinePr summaryBelow="1" summaryRight="1"/>
    <pageSetUpPr/>
  </sheetPr>
  <dimension ref="A1:H1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9" customWidth="1" min="3" max="3"/>
    <col width="12" customWidth="1" min="4" max="4"/>
    <col width="16" customWidth="1" min="5" max="5"/>
    <col width="18" customWidth="1" min="6" max="6"/>
    <col width="40" customWidth="1" min="7" max="7"/>
    <col width="40" customWidth="1" min="8" max="8"/>
  </cols>
  <sheetData>
    <row r="1" ht="32" customHeight="1">
      <c r="A1" s="19" t="inlineStr">
        <is>
          <t>アーティストID</t>
        </is>
      </c>
      <c r="B1" s="19" t="inlineStr">
        <is>
          <t>メンバーID</t>
        </is>
      </c>
      <c r="C1" s="19" t="inlineStr">
        <is>
          <t>状態</t>
        </is>
      </c>
      <c r="D1" s="19" t="inlineStr">
        <is>
          <t>種類</t>
        </is>
      </c>
      <c r="E1" s="19" t="inlineStr">
        <is>
          <t>体の場所</t>
        </is>
      </c>
      <c r="F1" s="19" t="inlineStr">
        <is>
          <t>いつ</t>
        </is>
      </c>
      <c r="G1" s="19" t="inlineStr">
        <is>
          <t>図柄・内容</t>
        </is>
      </c>
      <c r="H1" s="19" t="inlineStr">
        <is>
          <t>込めた想い</t>
        </is>
      </c>
    </row>
    <row r="2">
      <c r="A2" s="35" t="inlineStr">
        <is>
          <t>declan_fay</t>
        </is>
      </c>
      <c r="B2" s="27" t="inlineStr">
        <is>
          <t>declan</t>
        </is>
      </c>
      <c r="C2" s="13" t="inlineStr">
        <is>
          <t>採用</t>
        </is>
      </c>
      <c r="D2" s="12" t="inlineStr">
        <is>
          <t>タトゥー</t>
        </is>
      </c>
      <c r="E2" s="12" t="inlineStr">
        <is>
          <t>左手首の内側</t>
        </is>
      </c>
      <c r="F2" s="12" t="inlineStr">
        <is>
          <t>2021 年 11 月（28 歳）・トロントのダンダス・ストリート・ウエストの小さなスタジオ</t>
        </is>
      </c>
      <c r="G2" s="12" t="inlineStr">
        <is>
          <t>父のカセットのラベルの筆跡をそのまま写した『Side B』の文字（幅 2cm ほど）。1 個目で唯一のタトゥー。</t>
        </is>
      </c>
      <c r="H2" s="12" t="inlineStr">
        <is>
          <t>父は『B 面にいい曲が入っていることもある』とよく言っていた。コークが A 面ならトロントは B 面で、どちらも同じ 1 本のテープだと思うため。</t>
        </is>
      </c>
    </row>
    <row r="3">
      <c r="A3" s="35" t="inlineStr">
        <is>
          <t>declan_fay</t>
        </is>
      </c>
      <c r="B3" s="27" t="inlineStr">
        <is>
          <t>declan</t>
        </is>
      </c>
      <c r="C3" s="13" t="inlineStr">
        <is>
          <t>採用</t>
        </is>
      </c>
      <c r="D3" s="12" t="inlineStr">
        <is>
          <t>傷</t>
        </is>
      </c>
      <c r="E3" s="12" t="inlineStr">
        <is>
          <t>右手の親指の付け根</t>
        </is>
      </c>
      <c r="F3" s="12" t="inlineStr">
        <is>
          <t>2017 年 1 月（23 歳）・朝刊の配送中</t>
        </is>
      </c>
      <c r="G3" s="12" t="inlineStr">
        <is>
          <t>凍ったバンのスライドドアに挟んでできた 3cm ほどの白い線</t>
        </is>
      </c>
      <c r="H3" s="12" t="inlineStr">
        <is>
          <t>移民 1 年目の冬の記録。消したいとは思わない。シンセの鍵盤に手を置くとちょうど目に入る。</t>
        </is>
      </c>
    </row>
    <row r="4">
      <c r="A4" s="36" t="inlineStr">
        <is>
          <t>hollowplan</t>
        </is>
      </c>
      <c r="B4" s="27" t="inlineStr">
        <is>
          <t>abena</t>
        </is>
      </c>
      <c r="C4" s="13" t="inlineStr">
        <is>
          <t>採用</t>
        </is>
      </c>
      <c r="D4" s="12" t="inlineStr">
        <is>
          <t>傷（1 個目）</t>
        </is>
      </c>
      <c r="E4" s="12" t="inlineStr">
        <is>
          <t>左手の人差し指の腹</t>
        </is>
      </c>
      <c r="F4" s="12" t="inlineStr">
        <is>
          <t>2017 年 11 月（20 歳）シェフィールドの大学の模型工房</t>
        </is>
      </c>
      <c r="G4" s="12" t="inlineStr">
        <is>
          <t>長さ 2 cm の細い白い線。MDF を定規なしで急いで切ろうとして、カッターが滑った。3 針。</t>
        </is>
      </c>
      <c r="H4" s="12" t="inlineStr">
        <is>
          <t>急いで切った線は自分に返ってくる、という印。今も刃を替える前に、必ずこの指を見る。</t>
        </is>
      </c>
    </row>
    <row r="5">
      <c r="A5" s="36" t="inlineStr">
        <is>
          <t>hollowplan</t>
        </is>
      </c>
      <c r="B5" s="27" t="inlineStr">
        <is>
          <t>abena</t>
        </is>
      </c>
      <c r="C5" s="13" t="inlineStr">
        <is>
          <t>採用</t>
        </is>
      </c>
      <c r="D5" s="12" t="inlineStr">
        <is>
          <t>タトゥー（1 個目・今のところ唯一）</t>
        </is>
      </c>
      <c r="E5" s="12" t="inlineStr">
        <is>
          <t>うなじ（髪をまとめると見える位置）</t>
        </is>
      </c>
      <c r="F5" s="12" t="inlineStr">
        <is>
          <t>2020 年 2 月（22 歳）ハックニーの小さなスタジオ</t>
        </is>
      </c>
      <c r="G5" s="12" t="inlineStr">
        <is>
          <t>1 cm 四方の正方形の枠。中は塗らずに空けてある。祖母の家の中庭の平面図で、線の太さは 1:100 の図面の壁と同じ比率。</t>
        </is>
      </c>
      <c r="H5" s="12" t="inlineStr">
        <is>
          <t>祖母の葬儀から戻って 2 か月後に入れた。真ん中を空けておくことを忘れないため。母には言わずにいたが、ビデオ通話で見つかり、母は『首を冷やさないようにね』とだけ言った。</t>
        </is>
      </c>
    </row>
    <row r="6">
      <c r="A6" s="37" t="inlineStr">
        <is>
          <t>nao_easterly</t>
        </is>
      </c>
      <c r="B6" s="27" t="inlineStr">
        <is>
          <t>nao</t>
        </is>
      </c>
      <c r="C6" s="13" t="inlineStr">
        <is>
          <t>採用</t>
        </is>
      </c>
      <c r="D6" s="12" t="inlineStr">
        <is>
          <t>傷</t>
        </is>
      </c>
      <c r="E6" s="12" t="inlineStr">
        <is>
          <t>左手の甲（親指の付け根の近く）</t>
        </is>
      </c>
      <c r="F6" s="12" t="inlineStr">
        <is>
          <t>2021 年 1 月（18 歳・フッドリバーのパン屋）</t>
        </is>
      </c>
      <c r="G6" s="12" t="inlineStr">
        <is>
          <t>オーブンの天板でできた 2cm ほどの細長い火傷の跡</t>
        </is>
      </c>
      <c r="H6" s="12" t="inlineStr">
        <is>
          <t>朝 4 時半の仕込みの最中にできた。隠さずに写真にも写す。早起きの仕事を続けてきた証拠だと思っている。</t>
        </is>
      </c>
    </row>
    <row r="7">
      <c r="A7" s="37" t="inlineStr">
        <is>
          <t>nao_easterly</t>
        </is>
      </c>
      <c r="B7" s="27" t="inlineStr">
        <is>
          <t>nao</t>
        </is>
      </c>
      <c r="C7" s="13" t="inlineStr">
        <is>
          <t>採用</t>
        </is>
      </c>
      <c r="D7" s="12" t="inlineStr">
        <is>
          <t>タトゥー</t>
        </is>
      </c>
      <c r="E7" s="12" t="inlineStr">
        <is>
          <t>右足首の内側</t>
        </is>
      </c>
      <c r="F7" s="12" t="inlineStr">
        <is>
          <t>2024 年 3 月（22 歳の誕生日の週・ポートランド）</t>
        </is>
      </c>
      <c r="G7" s="12" t="inlineStr">
        <is>
          <t>黒の極細線で引いた長さ 3cm の横線 1 本（地平線）</t>
        </is>
      </c>
      <c r="H7" s="12" t="inlineStr">
        <is>
          <t>1 個目で、これ以上は入れないつもり。日がどちらの国から昇っても、地平線は同じ 1 本だということ。国籍の届けを引き出しにしまった週に入れた。</t>
        </is>
      </c>
    </row>
    <row r="8">
      <c r="A8" s="38" t="inlineStr">
        <is>
          <t>soft_cantilever</t>
        </is>
      </c>
      <c r="B8" s="27" t="inlineStr">
        <is>
          <t>kino</t>
        </is>
      </c>
      <c r="C8" s="13" t="inlineStr">
        <is>
          <t>採用</t>
        </is>
      </c>
      <c r="D8" s="12" t="inlineStr">
        <is>
          <t>傷</t>
        </is>
      </c>
      <c r="E8" s="12" t="inlineStr">
        <is>
          <t>左手の人差し指の付け根</t>
        </is>
      </c>
      <c r="F8" s="12" t="inlineStr">
        <is>
          <t>2017 年 5 月（18 歳）</t>
        </is>
      </c>
      <c r="G8" s="12" t="inlineStr">
        <is>
          <t>模型用のカッターで切った 3 針の白い線。1 個目で唯一の傷。</t>
        </is>
      </c>
      <c r="H8" s="12" t="inlineStr">
        <is>
          <t>1 年目の徹夜明け、バルサ材を切っていて滑った。コードを押さえるたびに見えるので、急ぐと手を切るという合図にしている。</t>
        </is>
      </c>
    </row>
    <row r="9">
      <c r="A9" s="38" t="inlineStr">
        <is>
          <t>soft_cantilever</t>
        </is>
      </c>
      <c r="B9" s="27" t="inlineStr">
        <is>
          <t>kino</t>
        </is>
      </c>
      <c r="C9" s="13" t="inlineStr">
        <is>
          <t>採用</t>
        </is>
      </c>
      <c r="D9" s="12" t="inlineStr">
        <is>
          <t>なし（タトゥー）</t>
        </is>
      </c>
      <c r="E9" s="12" t="inlineStr">
        <is>
          <t>なし</t>
        </is>
      </c>
      <c r="F9" s="12" t="inlineStr">
        <is>
          <t>なし</t>
        </is>
      </c>
      <c r="G9" s="12" t="inlineStr">
        <is>
          <t>タトゥーは入れていない。</t>
        </is>
      </c>
      <c r="H9" s="12" t="inlineStr">
        <is>
          <t>看護師の母が患者の古いタトゥーを見ながら『その人がいちばん変わった年が体に残る』と言ったのを覚えている。まだ自分の変わる年が終わっていないと思うから、何も残さない。</t>
        </is>
      </c>
    </row>
    <row r="10">
      <c r="A10" s="38" t="inlineStr">
        <is>
          <t>soft_cantilever</t>
        </is>
      </c>
      <c r="B10" s="27" t="inlineStr">
        <is>
          <t>bia</t>
        </is>
      </c>
      <c r="C10" s="13" t="inlineStr">
        <is>
          <t>採用</t>
        </is>
      </c>
      <c r="D10" s="12" t="inlineStr">
        <is>
          <t>タトゥー</t>
        </is>
      </c>
      <c r="E10" s="12" t="inlineStr">
        <is>
          <t>左の前腕の内側</t>
        </is>
      </c>
      <c r="F10" s="12" t="inlineStr">
        <is>
          <t>2022 年 2 月（25 歳）・メルボルン Brunswick</t>
        </is>
      </c>
      <c r="G10" s="12" t="inlineStr">
        <is>
          <t>祖母の家の屋根を断面で描いた細い線画（勾配屋根と 2 階の床の線）。下に小さく 'casa'。1 個目で今のところ唯一。</t>
        </is>
      </c>
      <c r="H10" s="12" t="inlineStr">
        <is>
          <t>葬儀に帰れなかった祖母の家を、図面の線で残した。ベースを弾くと腕の内側が上を向くので、演奏中は祖母の家が客席から見えない向きになるのも気に入っている。</t>
        </is>
      </c>
    </row>
    <row r="11">
      <c r="A11" s="38" t="inlineStr">
        <is>
          <t>soft_cantilever</t>
        </is>
      </c>
      <c r="B11" s="27" t="inlineStr">
        <is>
          <t>tav</t>
        </is>
      </c>
      <c r="C11" s="13" t="inlineStr">
        <is>
          <t>採用</t>
        </is>
      </c>
      <c r="D11" s="12" t="inlineStr">
        <is>
          <t>傷</t>
        </is>
      </c>
      <c r="E11" s="12" t="inlineStr">
        <is>
          <t>右手の親指の爪</t>
        </is>
      </c>
      <c r="F11" s="12" t="inlineStr">
        <is>
          <t>2022 年 2 月（23 歳）</t>
        </is>
      </c>
      <c r="G11" s="12" t="inlineStr">
        <is>
          <t>金槌で割った爪が、縦に 1 本の筋として残っている。1 個目の傷。</t>
        </is>
      </c>
      <c r="H11" s="12" t="inlineStr">
        <is>
          <t>見習い 1 か月目の失敗。スティックを握るたびに見えて、『2 回測れ』を思い出す。</t>
        </is>
      </c>
    </row>
    <row r="12">
      <c r="A12" s="38" t="inlineStr">
        <is>
          <t>soft_cantilever</t>
        </is>
      </c>
      <c r="B12" s="27" t="inlineStr">
        <is>
          <t>tav</t>
        </is>
      </c>
      <c r="C12" s="13" t="inlineStr">
        <is>
          <t>採用</t>
        </is>
      </c>
      <c r="D12" s="12" t="inlineStr">
        <is>
          <t>なし（タトゥー）</t>
        </is>
      </c>
      <c r="E12" s="12" t="inlineStr">
        <is>
          <t>なし</t>
        </is>
      </c>
      <c r="F12" s="12" t="inlineStr">
        <is>
          <t>なし</t>
        </is>
      </c>
      <c r="G12" s="12" t="inlineStr">
        <is>
          <t>サモアの伝統的なタトゥー（タタウ）もほかのタトゥーも入れていない。</t>
        </is>
      </c>
      <c r="H12" s="12" t="inlineStr">
        <is>
          <t>おじのタタウは家族と村への責任を背負った印だと知っている。その重さを引き受ける覚悟が自分にできるまで、軽い気持ちで似た図柄も入れないと決めている。</t>
        </is>
      </c>
    </row>
    <row r="13">
      <c r="A13" s="39" t="inlineStr">
        <is>
          <t>tidewool</t>
        </is>
      </c>
      <c r="B13" s="27" t="inlineStr">
        <is>
          <t>isla</t>
        </is>
      </c>
      <c r="C13" s="13" t="inlineStr">
        <is>
          <t>採用</t>
        </is>
      </c>
      <c r="D13" s="12" t="inlineStr">
        <is>
          <t>傷</t>
        </is>
      </c>
      <c r="E13" s="12" t="inlineStr">
        <is>
          <t>左の手のひら（親指の付け根）</t>
        </is>
      </c>
      <c r="F13" s="12" t="inlineStr">
        <is>
          <t>2015 年 12 月（20 歳）・オタゴの牧場の毛刈り小屋</t>
        </is>
      </c>
      <c r="G13" s="12" t="inlineStr">
        <is>
          <t>長さ 2cm の白い線の傷。羊毛の脂で滑る床で転び、羊毛を圧縮する機械の縁で切った。</t>
        </is>
      </c>
      <c r="H13" s="12" t="inlineStr">
        <is>
          <t>体に残る印はこれ 1 つだけ（1 個目）。タトゥーは入れない。羊毛と同じで、体は時間とともに自然に変わっていくだけで十分だと思っている。編むたびに目に入るこの傷が、あの夏の匂いを思い出させる。</t>
        </is>
      </c>
    </row>
    <row r="14">
      <c r="A14" s="39" t="inlineStr">
        <is>
          <t>tidewool</t>
        </is>
      </c>
      <c r="B14" s="27" t="inlineStr">
        <is>
          <t>gethin</t>
        </is>
      </c>
      <c r="C14" s="13" t="inlineStr">
        <is>
          <t>採用</t>
        </is>
      </c>
      <c r="D14" s="12" t="inlineStr">
        <is>
          <t>タトゥー</t>
        </is>
      </c>
      <c r="E14" s="12" t="inlineStr">
        <is>
          <t>左腕の内側（手首から 10cm 上）</t>
        </is>
      </c>
      <c r="F14" s="12" t="inlineStr">
        <is>
          <t>2012 年 7 月（22 歳）・ファルマスの小さな彫り師の店</t>
        </is>
      </c>
      <c r="G14" s="12" t="inlineStr">
        <is>
          <t>祖父 Dai の小舟の船尾を細い線で描いた絵と、船名 Gwennol（ウェールズ語でツバメ）。手のひらほどの大きさ。</t>
        </is>
      </c>
      <c r="H14" s="12" t="inlineStr">
        <is>
          <t>1 個目で唯一のタトゥー。専門学校を出て、家を離れて船大工になると決めた日に入れた。祖父の舟は売られて残らなかったので、自分の腕に残した。</t>
        </is>
      </c>
    </row>
    <row r="15">
      <c r="A15" s="39" t="inlineStr">
        <is>
          <t>tidewool</t>
        </is>
      </c>
      <c r="B15" s="27" t="inlineStr">
        <is>
          <t>gethin</t>
        </is>
      </c>
      <c r="C15" s="13" t="inlineStr">
        <is>
          <t>採用</t>
        </is>
      </c>
      <c r="D15" s="12" t="inlineStr">
        <is>
          <t>傷</t>
        </is>
      </c>
      <c r="E15" s="12" t="inlineStr">
        <is>
          <t>右手の親指の付け根</t>
        </is>
      </c>
      <c r="F15" s="12" t="inlineStr">
        <is>
          <t>2013 年（23 歳）・ペンリンのボートヤード</t>
        </is>
      </c>
      <c r="G15" s="12" t="inlineStr">
        <is>
          <t>鑿が滑ってできた 3cm の傷（4 針縫った）。</t>
        </is>
      </c>
      <c r="H15" s="12" t="inlineStr">
        <is>
          <t>2 個目の印。急いで仕事をした日の傷で、『木は急がせると割れる。手も同じ』と自分に言い聞かせるための印。</t>
        </is>
      </c>
    </row>
  </sheetData>
  <autoFilter ref="A1:H15"/>
  <conditionalFormatting sqref="C2:C514">
    <cfRule type="cellIs" priority="1" operator="equal" dxfId="0">
      <formula>"提案"</formula>
    </cfRule>
    <cfRule type="cellIs" priority="2" operator="equal" dxfId="1">
      <formula>"採用"</formula>
    </cfRule>
    <cfRule type="cellIs" priority="3" operator="equal" dxfId="2">
      <formula>"保留"</formula>
    </cfRule>
    <cfRule type="cellIs" priority="4" operator="equal" dxfId="3">
      <formula>"却下"</formula>
    </cfRule>
    <cfRule type="cellIs" priority="5" operator="equal" dxfId="4">
      <formula>"反映済み"</formula>
    </cfRule>
  </conditionalFormatting>
  <conditionalFormatting sqref="A2:H514">
    <cfRule type="expression" priority="6" dxfId="5">
      <formula>$C2="却下"</formula>
    </cfRule>
  </conditionalFormatting>
  <conditionalFormatting sqref="B2:H514">
    <cfRule type="expression" priority="7" dxfId="6">
      <formula>AND($A2&lt;&gt;"",MOD(ROW(),2)=0)</formula>
    </cfRule>
  </conditionalFormatting>
  <conditionalFormatting sqref="A2:A514">
    <cfRule type="cellIs" priority="8" operator="equal" dxfId="7">
      <formula>"declan_fay"</formula>
    </cfRule>
    <cfRule type="cellIs" priority="9" operator="equal" dxfId="8">
      <formula>"hollowplan"</formula>
    </cfRule>
    <cfRule type="cellIs" priority="10" operator="equal" dxfId="9">
      <formula>"nao_easterly"</formula>
    </cfRule>
    <cfRule type="cellIs" priority="11" operator="equal" dxfId="10">
      <formula>"soft_cantilever"</formula>
    </cfRule>
    <cfRule type="cellIs" priority="12" operator="equal" dxfId="11">
      <formula>"tidewool"</formula>
    </cfRule>
  </conditionalFormatting>
  <dataValidations count="2">
    <dataValidation sqref="D2:D514" showDropDown="0" showInputMessage="0" showErrorMessage="0" allowBlank="1" errorTitle="選べる値" error="一覧から選んでください（空欄も可）" type="list">
      <formula1>"傷,タトゥー,ピアス,なし"</formula1>
    </dataValidation>
    <dataValidation sqref="C2:C514" showDropDown="0" showInputMessage="0" showErrorMessage="0" allowBlank="1" errorTitle="選べる値" error="一覧から選んでください（空欄も可）" type="list">
      <formula1>"提案,採用,保留,却下,反映済み"</formula1>
    </dataValidation>
  </dataValidations>
  <pageMargins left="0.75" right="0.75" top="1" bottom="1" header="0.5" footer="0.5"/>
</worksheet>
</file>

<file path=xl/worksheets/sheet7.xml><?xml version="1.0" encoding="utf-8"?>
<worksheet xmlns="http://schemas.openxmlformats.org/spreadsheetml/2006/main">
  <sheetPr>
    <tabColor rgb="00B89B72"/>
    <outlinePr summaryBelow="1" summaryRight="1"/>
    <pageSetUpPr/>
  </sheetPr>
  <dimension ref="A1:J6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9" customWidth="1" min="3" max="3"/>
    <col width="12" customWidth="1" min="4" max="4"/>
    <col width="26" customWidth="1" min="5" max="5"/>
    <col width="22" customWidth="1" min="6" max="6"/>
    <col width="40" customWidth="1" min="7" max="7"/>
    <col width="40" customWidth="1" min="8" max="8"/>
    <col width="40" customWidth="1" min="9" max="9"/>
    <col width="40" customWidth="1" min="10" max="10"/>
  </cols>
  <sheetData>
    <row r="1" ht="32" customHeight="1">
      <c r="A1" s="19" t="inlineStr">
        <is>
          <t>アーティストID</t>
        </is>
      </c>
      <c r="B1" s="19" t="inlineStr">
        <is>
          <t>メンバーID</t>
        </is>
      </c>
      <c r="C1" s="19" t="inlineStr">
        <is>
          <t>状態</t>
        </is>
      </c>
      <c r="D1" s="19" t="inlineStr">
        <is>
          <t>種類（音楽・本・絵・映画・言葉）</t>
        </is>
      </c>
      <c r="E1" s="19" t="inlineStr">
        <is>
          <t>名前・題名</t>
        </is>
      </c>
      <c r="F1" s="19" t="inlineStr">
        <is>
          <t>作者・アーティスト</t>
        </is>
      </c>
      <c r="G1" s="19" t="inlineStr">
        <is>
          <t>作品・曲・時期</t>
        </is>
      </c>
      <c r="H1" s="19" t="inlineStr">
        <is>
          <t>出会ったとき</t>
        </is>
      </c>
      <c r="I1" s="19" t="inlineStr">
        <is>
          <t>受け取ったもの</t>
        </is>
      </c>
      <c r="J1" s="19" t="inlineStr">
        <is>
          <t>どこに表れているか（声・演奏・曲づくり・見た目）</t>
        </is>
      </c>
    </row>
    <row r="2">
      <c r="A2" s="35" t="inlineStr">
        <is>
          <t>declan_fay</t>
        </is>
      </c>
      <c r="B2" s="27" t="inlineStr">
        <is>
          <t>declan</t>
        </is>
      </c>
      <c r="C2" s="13" t="inlineStr">
        <is>
          <t>採用</t>
        </is>
      </c>
      <c r="D2" s="12" t="inlineStr">
        <is>
          <t>音楽</t>
        </is>
      </c>
      <c r="E2" s="12" t="inlineStr">
        <is>
          <t>Hats</t>
        </is>
      </c>
      <c r="F2" s="12" t="inlineStr">
        <is>
          <t>The Blue Nile</t>
        </is>
      </c>
      <c r="G2" s="12" t="inlineStr">
        <is>
          <t>アルバム『Hats』（1989）の 2 曲目『The Downtown Lights』。父のテープでは 1989 年秋の深夜番組の録音に入っている。</t>
        </is>
      </c>
      <c r="H2" s="12" t="inlineStr">
        <is>
          <t>6〜9 歳の頃（1999〜2002 年）、金曜の夜に父の深緑のセダンでサウス・リング・ロードを回る車内で、名前も知らずに何度も聴いた。曲名と歌い手が分かったのは 2021 年、父のテープをデジタル化していたとき。</t>
        </is>
      </c>
      <c r="I2" s="12" t="inlineStr">
        <is>
          <t>父のカセットの 1 本（1989 年の深夜番組の録音）に入っていた。都市の夜を大声で歌わず、低い声と長い間で温度を伝えるやり方を受け取った。</t>
        </is>
      </c>
      <c r="J2" s="12" t="inlineStr">
        <is>
          <t>A メロを狭い音の動きで語るように歌い、サビで少しだけ開く旋律の形。ゆっくり開いていく和音のパッドと、都市の灯りを大声でなく低い声で描く温度の基準になっている。</t>
        </is>
      </c>
    </row>
    <row r="3">
      <c r="A3" s="35" t="inlineStr">
        <is>
          <t>declan_fay</t>
        </is>
      </c>
      <c r="B3" s="27" t="inlineStr">
        <is>
          <t>declan</t>
        </is>
      </c>
      <c r="C3" s="13" t="inlineStr">
        <is>
          <t>採用</t>
        </is>
      </c>
      <c r="D3" s="12" t="inlineStr">
        <is>
          <t>音楽</t>
        </is>
      </c>
      <c r="E3" s="12" t="inlineStr">
        <is>
          <t>I'm Your Man</t>
        </is>
      </c>
      <c r="F3" s="12" t="inlineStr">
        <is>
          <t>Leonard Cohen</t>
        </is>
      </c>
      <c r="G3" s="12" t="inlineStr">
        <is>
          <t>アルバム『I'm Your Man』（1988）。とくに 4 曲目の表題曲。</t>
        </is>
      </c>
      <c r="H3" s="12" t="inlineStr">
        <is>
          <t>幼少期から小学生の頃（1990 年代の終わり〜2000 年代のはじめ）、メイフィールドの家の台所で母がかけていたのを聴いた。歌い手がカナダ人だと知ったのはトロントに移ってから。</t>
        </is>
      </c>
      <c r="I3" s="12" t="inlineStr">
        <is>
          <t>母が台所でかけていたアルバム。安いシンセとドラムマシンの上で、低い声が語るだけで歌になると知った。移住先がこの人の国だったことにも少し縁を感じている。</t>
        </is>
      </c>
      <c r="J3" s="12" t="inlineStr">
        <is>
          <t>1 番の前の 2 小節の語りと、ブリッジの 4 小節の語り。歌と語りの境目を作らず、低い声のまま拍の少し後ろに言葉を置く歌い方に出ている。</t>
        </is>
      </c>
    </row>
    <row r="4">
      <c r="A4" s="35" t="inlineStr">
        <is>
          <t>declan_fay</t>
        </is>
      </c>
      <c r="B4" s="27" t="inlineStr">
        <is>
          <t>declan</t>
        </is>
      </c>
      <c r="C4" s="13" t="inlineStr">
        <is>
          <t>採用</t>
        </is>
      </c>
      <c r="D4" s="12" t="inlineStr">
        <is>
          <t>音楽</t>
        </is>
      </c>
      <c r="E4" s="12" t="inlineStr">
        <is>
          <t>Nightcall</t>
        </is>
      </c>
      <c r="F4" s="12" t="inlineStr">
        <is>
          <t>Kavinsky</t>
        </is>
      </c>
      <c r="G4" s="12" t="inlineStr">
        <is>
          <t>『Nightcall』（2010）。映画『Drive』（2011）のオープニングで使われた曲。</t>
        </is>
      </c>
      <c r="H4" s="12" t="inlineStr">
        <is>
          <t>2011 年の秋（18 歳）、コークの映画館で『Drive』を観て、帰り道に何度も聴いた。</t>
        </is>
      </c>
      <c r="I4" s="12" t="inlineStr">
        <is>
          <t>18 歳の秋、コークの映画館で映画『Drive』（2011）を観た帰りに何度も聴いた。太いシンセベースと遅いテンポで夜の道路を描く手触りを、今の夜に鳴らす方法として受け取った。</t>
        </is>
      </c>
      <c r="J4" s="12" t="inlineStr">
        <is>
          <t>丸く太いシンセベースと、92〜104 の急がないテンポ。夜の道路の映像に曲を合わせて見せる、顔を出さない映像の型にもつながっている。</t>
        </is>
      </c>
    </row>
    <row r="5">
      <c r="A5" s="35" t="inlineStr">
        <is>
          <t>declan_fay</t>
        </is>
      </c>
      <c r="B5" s="27" t="inlineStr">
        <is>
          <t>declan</t>
        </is>
      </c>
      <c r="C5" s="13" t="inlineStr">
        <is>
          <t>採用</t>
        </is>
      </c>
      <c r="D5" s="12" t="inlineStr">
        <is>
          <t>言葉</t>
        </is>
      </c>
      <c r="E5" s="12" t="inlineStr">
        <is>
          <t>Postscript（詩集『The Spirit Level』1996 より）</t>
        </is>
      </c>
      <c r="F5" s="12" t="inlineStr">
        <is>
          <t>Seamus Heaney</t>
        </is>
      </c>
      <c r="G5" s="12" t="inlineStr">
        <is>
          <t>詩集『The Spirit Level』（1996）の最後の詩『Postscript』。</t>
        </is>
      </c>
      <c r="H5" s="12" t="inlineStr">
        <is>
          <t>2016 年 9 月、トロントへ発つ前の週に母がくれた。</t>
        </is>
      </c>
      <c r="I5" s="12" t="inlineStr">
        <is>
          <t>'You are neither here nor there, / A hurry through which known and strange things pass' ——移住の前に母がくれた詩。風に揺さぶられる車の中の詩で、どちらの国にも属しきらない今の自分の居場所を、そのままでいいと言ってくれた。</t>
        </is>
      </c>
      <c r="J5" s="12" t="inlineStr">
        <is>
          <t>車の中から景色と時刻だけを置き、気持ちの名前を言わずに聴き手に任せる歌詞の書き方。『どちらの家か決めなくていい』という今のテーマの土台になっている。</t>
        </is>
      </c>
    </row>
    <row r="6">
      <c r="A6" s="35" t="inlineStr">
        <is>
          <t>declan_fay</t>
        </is>
      </c>
      <c r="B6" s="27" t="inlineStr">
        <is>
          <t>declan</t>
        </is>
      </c>
      <c r="C6" s="13" t="inlineStr">
        <is>
          <t>採用</t>
        </is>
      </c>
      <c r="D6" s="12" t="inlineStr">
        <is>
          <t>本</t>
        </is>
      </c>
      <c r="E6" s="12" t="inlineStr">
        <is>
          <t>Brooklyn</t>
        </is>
      </c>
      <c r="F6" s="12" t="inlineStr">
        <is>
          <t>Colm Tóibín</t>
        </is>
      </c>
      <c r="G6" s="12" t="inlineStr">
        <is>
          <t>小説『Brooklyn』（2009）。</t>
        </is>
      </c>
      <c r="H6" s="12" t="inlineStr">
        <is>
          <t>2016 年 9 月 13 日、出発の前日に妹のシアラがくれた。トロント行きの機内で読み終えた。</t>
        </is>
      </c>
      <c r="I6" s="12" t="inlineStr">
        <is>
          <t>出発の前日に妹がくれた小説。故郷を出た人が、帰ったときにどちらにも半分ずつしかいない感覚。大げさに書かず、手紙と天気で気持ちを運ぶ書き方を受け取った。</t>
        </is>
      </c>
      <c r="J6" s="12" t="inlineStr">
        <is>
          <t>故郷と移住先の両方を悲劇にしない語り口と、手紙や天気や台所の物で気持ちを運ぶ歌詞の書き方に出ている。</t>
        </is>
      </c>
    </row>
    <row r="7">
      <c r="A7" s="35" t="inlineStr">
        <is>
          <t>declan_fay</t>
        </is>
      </c>
      <c r="B7" s="27" t="inlineStr">
        <is>
          <t>declan</t>
        </is>
      </c>
      <c r="C7" s="13" t="inlineStr">
        <is>
          <t>採用</t>
        </is>
      </c>
      <c r="D7" s="12" t="inlineStr">
        <is>
          <t>映画</t>
        </is>
      </c>
      <c r="E7" s="12" t="inlineStr">
        <is>
          <t>Night on Earth</t>
        </is>
      </c>
      <c r="F7" s="12" t="inlineStr">
        <is>
          <t>Jim Jarmusch</t>
        </is>
      </c>
      <c r="G7" s="12" t="inlineStr">
        <is>
          <t>映画『Night on Earth』（1991）。ロサンゼルス・ニューヨーク・パリ・ローマ・ヘルシンキの同じ夜のタクシーを描く 5 話。</t>
        </is>
      </c>
      <c r="H7" s="12" t="inlineStr">
        <is>
          <t>2018〜2019 年、ハーバーライト FM の夜勤に就いて間もない頃、局の先輩に勧められて休みの日に観た。</t>
        </is>
      </c>
      <c r="I7" s="12" t="inlineStr">
        <is>
          <t>局の先輩に教わった 1991 年の映画。同じ夜の同じ時刻に、5 つの都市でタクシーが走る。父のタクシーと、自分の 5 時間の時差が 1 本の線でつながった。</t>
        </is>
      </c>
      <c r="J7" s="12" t="inlineStr">
        <is>
          <t>時差の向こうの同じ時刻を 1 曲の中に並べる発想と、車内の会話の間合い。ジャケットに時刻と場所を書き入れる決まりにもつながっている。</t>
        </is>
      </c>
    </row>
    <row r="8">
      <c r="A8" s="36" t="inlineStr">
        <is>
          <t>hollowplan</t>
        </is>
      </c>
      <c r="B8" s="27" t="inlineStr">
        <is>
          <t>abena</t>
        </is>
      </c>
      <c r="C8" s="13" t="inlineStr">
        <is>
          <t>採用</t>
        </is>
      </c>
      <c r="D8" s="12" t="inlineStr">
        <is>
          <t>音楽</t>
        </is>
      </c>
      <c r="E8" s="12" t="inlineStr">
        <is>
          <t>父のレコード棚のハイライフ（1950〜60 年代の録音）</t>
        </is>
      </c>
      <c r="F8" s="12" t="inlineStr">
        <is>
          <t>E.T. Mensah &amp; The Tempos</t>
        </is>
      </c>
      <c r="G8" s="12" t="inlineStr">
        <is>
          <t>代表曲「All For You」（1950 年代の録音。1956 年にアクラでルイ・アームストロングを迎えたときにも演奏された曲）と、同じ頃のダンスバンドの録音</t>
        </is>
      </c>
      <c r="H8" s="12" t="inlineStr">
        <is>
          <t>2003〜2007 年（6〜10 歳）リーズ・ハーヘルズの長屋で。日曜の朝、父がクマシから持ってきたレコードをかけながら家族 4 人で床を磨いた。</t>
        </is>
      </c>
      <c r="I8" s="12" t="inlineStr">
        <is>
          <t>日曜の朝、父がクマシから持ってきたレコードをかけながら家族で床を磨いた。管とギターが同じ短い動機を繰り返し、踊る人を急かさないこと。曲に入れる 2 音のギターはここから来ている。</t>
        </is>
      </c>
      <c r="J8" s="12" t="inlineStr">
        <is>
          <t>各曲に 1 回だけ入れる 2 音のハイライフ風ギターのリフと、声の切れ端のフックを同じ短い動機のまま繰り返して急かさない作り方。管とギターの掛け合いは、2 小節の問いに 2 小節の答えを返す静かなコールアンドレスポンスに残っている。</t>
        </is>
      </c>
    </row>
    <row r="9">
      <c r="A9" s="36" t="inlineStr">
        <is>
          <t>hollowplan</t>
        </is>
      </c>
      <c r="B9" s="27" t="inlineStr">
        <is>
          <t>abena</t>
        </is>
      </c>
      <c r="C9" s="13" t="inlineStr">
        <is>
          <t>採用</t>
        </is>
      </c>
      <c r="D9" s="12" t="inlineStr">
        <is>
          <t>音楽</t>
        </is>
      </c>
      <c r="E9" s="12" t="inlineStr">
        <is>
          <t>Untrue（アルバム）</t>
        </is>
      </c>
      <c r="F9" s="12" t="inlineStr">
        <is>
          <t>Burial</t>
        </is>
      </c>
      <c r="G9" s="12" t="inlineStr">
        <is>
          <t>アルバム『Untrue』（2007 年・Hyperdub）の 2 曲目「Archangel」</t>
        </is>
      </c>
      <c r="H9" s="12" t="inlineStr">
        <is>
          <t>2011 年（14 歳）リーズ・ラウンドヘイ。ペッカムのいとこアマが焼いてくれた南ロンドンの夜の電子音楽の CD で、ヘッドホンで夜に聴いた。</t>
        </is>
      </c>
      <c r="I9" s="12" t="inlineStr">
        <is>
          <t>14 歳のとき、ペッカムのいとこが焼いてくれた CD。生まれた街の夜行バスの音がした。声を細かく切ってピッチを変えると、言葉より気持ちが残ると知った。</t>
        </is>
      </c>
      <c r="J9" s="12" t="inlineStr">
        <is>
          <t>声を 1 拍ずつ切ってピッチを変え、旋律の代わりに並べる作り方の出発点。曲の下に敷くかすかなレコードノイズと、街灯の流れる窓のような暗く湿った質感にも出ている。</t>
        </is>
      </c>
    </row>
    <row r="10">
      <c r="A10" s="36" t="inlineStr">
        <is>
          <t>hollowplan</t>
        </is>
      </c>
      <c r="B10" s="27" t="inlineStr">
        <is>
          <t>abena</t>
        </is>
      </c>
      <c r="C10" s="13" t="inlineStr">
        <is>
          <t>採用</t>
        </is>
      </c>
      <c r="D10" s="12" t="inlineStr">
        <is>
          <t>音楽</t>
        </is>
      </c>
      <c r="E10" s="12" t="inlineStr">
        <is>
          <t>Can You Feel It</t>
        </is>
      </c>
      <c r="F10" s="12" t="inlineStr">
        <is>
          <t>Mr. Fingers</t>
        </is>
      </c>
      <c r="G10" s="12" t="inlineStr">
        <is>
          <t>Mr. Fingers 名義の「Can You Feel It」（1986 年・Trax Records。EP『Washing Machine』に収録されたインストゥルメンタル版）</t>
        </is>
      </c>
      <c r="H10" s="12" t="inlineStr">
        <is>
          <t>2013 年（16 歳）リーズ・ラウンドヘイの幼なじみの友人の兄の部屋で、レコードで聴いた。</t>
        </is>
      </c>
      <c r="I10" s="12" t="inlineStr">
        <is>
          <t>16 歳、リーズの友人の兄の部屋で聴いた 80 年代シカゴの録音。歌が無くても、同じ和音の繰り返しが人を前へ進ませる。説教しない温かさがハウスの核だと思った。</t>
        </is>
      </c>
      <c r="J10" s="12" t="inlineStr">
        <is>
          <t>同じ和音を繰り返しながら前へ進ませるエレピのコードの組み方と、歌の無いハウスの温かさ。終わりのコードを解決しきらずに次の曲へつなぐアウトロもここから来ている。</t>
        </is>
      </c>
    </row>
    <row r="11">
      <c r="A11" s="36" t="inlineStr">
        <is>
          <t>hollowplan</t>
        </is>
      </c>
      <c r="B11" s="27" t="inlineStr">
        <is>
          <t>abena</t>
        </is>
      </c>
      <c r="C11" s="13" t="inlineStr">
        <is>
          <t>採用</t>
        </is>
      </c>
      <c r="D11" s="12" t="inlineStr">
        <is>
          <t>本</t>
        </is>
      </c>
      <c r="E11" s="12" t="inlineStr">
        <is>
          <t>Species of Spaces and Other Pieces（さまざまな空間）</t>
        </is>
      </c>
      <c r="F11" s="12" t="inlineStr">
        <is>
          <t>Georges Perec</t>
        </is>
      </c>
      <c r="G11" s="12" t="inlineStr">
        <is>
          <t>英訳選集『Species of Spaces and Other Pieces』（1997 年・Penguin Books、ジョン・スタロック編訳）。表題作の原著『Espèces d'espaces』は 1974 年</t>
        </is>
      </c>
      <c r="H11" s="12" t="inlineStr">
        <is>
          <t>2015 年（18 歳）シェフィールドの大学 1 年。建築学科の読書リストにあり、大学図書館で借りて延長を繰り返した。</t>
        </is>
      </c>
      <c r="I11" s="12" t="inlineStr">
        <is>
          <t>大学 1 年で読んだ。ページ・ベッド・部屋・通りと、ありふれた空間を一つずつ書き出していく方法。曲名を空間の単位と時刻で付ける癖の元。</t>
        </is>
      </c>
      <c r="J11" s="12" t="inlineStr">
        <is>
          <t>Courtyard, 02:40 や Services at Three のように、空間の単位と時刻を組み合わせて曲名を付ける癖。スケッチブックの平面図の余白に、言葉を部屋の名前のように書き出す習慣にも出ている。</t>
        </is>
      </c>
    </row>
    <row r="12">
      <c r="A12" s="36" t="inlineStr">
        <is>
          <t>hollowplan</t>
        </is>
      </c>
      <c r="B12" s="27" t="inlineStr">
        <is>
          <t>abena</t>
        </is>
      </c>
      <c r="C12" s="13" t="inlineStr">
        <is>
          <t>採用</t>
        </is>
      </c>
      <c r="D12" s="12" t="inlineStr">
        <is>
          <t>言葉</t>
        </is>
      </c>
      <c r="E12" s="12" t="inlineStr">
        <is>
          <t>鑿戶牖以為室，當其無，有室之用。</t>
        </is>
      </c>
      <c r="F12" s="12" t="inlineStr">
        <is>
          <t>老子『道徳経』第 11 章</t>
        </is>
      </c>
      <c r="G12" s="12" t="inlineStr">
        <is>
          <t>老子『道徳経』第 11 章（車輪の轂・器・部屋のたとえで『無』の用を説く章）の後半の一句</t>
        </is>
      </c>
      <c r="H12" s="12" t="inlineStr">
        <is>
          <t>2015 年（18 歳）シェフィールドの大学 1 年の建築史の講義。講師が英訳と並べて黒板に書いた。</t>
        </is>
      </c>
      <c r="I12" s="12" t="inlineStr">
        <is>
          <t>1 年の建築史の講義で、講師が英訳と並べて黒板に書いた。戸と窓をくり抜いて部屋を作る、部屋が役に立つのは何も無いところ。HOLLOWPLAN という名前の半分はここにある。</t>
        </is>
      </c>
      <c r="J12" s="12" t="inlineStr">
        <is>
          <t>HOLLOWPLAN という名前と、曲のちょうど真ん中に置く『中庭』の 8 小節。キックとベースを遠ざけても無音にはしない『使うための空白』の考え方そのもの。</t>
        </is>
      </c>
    </row>
    <row r="13">
      <c r="A13" s="36" t="inlineStr">
        <is>
          <t>hollowplan</t>
        </is>
      </c>
      <c r="B13" s="27" t="inlineStr">
        <is>
          <t>abena</t>
        </is>
      </c>
      <c r="C13" s="13" t="inlineStr">
        <is>
          <t>採用</t>
        </is>
      </c>
      <c r="D13" s="12" t="inlineStr">
        <is>
          <t>絵（彫刻）</t>
        </is>
      </c>
      <c r="E13" s="12" t="inlineStr">
        <is>
          <t>House（1993 年。ロンドン東部ボウのテラスハウスの内部をコンクリートで型取りした作品）</t>
        </is>
      </c>
      <c r="F13" s="12" t="inlineStr">
        <is>
          <t>Rachel Whiteread</t>
        </is>
      </c>
      <c r="G13" s="12" t="inlineStr">
        <is>
          <t>『House』（1993 年。ボウのグローブ・ロード 193 番地。同年のターナー賞を受け、1994 年 1 月に取り壊された）</t>
        </is>
      </c>
      <c r="H13" s="12" t="inlineStr">
        <is>
          <t>2018 年（21 歳）ロンドンに来た年、クラーケンウェルの設計事務所の資料棚にあった写真集で知った。</t>
        </is>
      </c>
      <c r="I13" s="12" t="inlineStr">
        <is>
          <t>ロンドンに来た 2018 年に写真集で知った。家の中の空気をそのまま固めた形。空いているところにも形がある、と模型の仕事で毎日思い出す。</t>
        </is>
      </c>
      <c r="J13" s="12" t="inlineStr">
        <is>
          <t>曲ごとに作る手のひら大のバルサの『部屋の模型』と、中央を空けたジャケットの構図。音では、残響の尾を部屋の空気の形として残し、空白を『形のあるもの』として扱う編曲に出ている。</t>
        </is>
      </c>
    </row>
    <row r="14">
      <c r="A14" s="36" t="inlineStr">
        <is>
          <t>hollowplan</t>
        </is>
      </c>
      <c r="B14" s="27" t="inlineStr">
        <is>
          <t>abena</t>
        </is>
      </c>
      <c r="C14" s="13" t="inlineStr">
        <is>
          <t>採用</t>
        </is>
      </c>
      <c r="D14" s="12" t="inlineStr">
        <is>
          <t>映画</t>
        </is>
      </c>
      <c r="E14" s="12" t="inlineStr">
        <is>
          <t>Columbus（2017 年）</t>
        </is>
      </c>
      <c r="F14" s="12" t="inlineStr">
        <is>
          <t>Kogonada</t>
        </is>
      </c>
      <c r="G14" s="12" t="inlineStr">
        <is>
          <t>映画『Columbus』（2017 年・監督と脚本 Kogonada。インディアナ州コロンバスのモダニズム建築を舞台にした長編第 1 作）</t>
        </is>
      </c>
      <c r="H14" s="12" t="inlineStr">
        <is>
          <t>2018 年 12 月（21 歳）実務研修の年の年末、リーズに帰省した折に古い映画館で父と見た（英国公開は 2018 年 10 月）。</t>
        </is>
      </c>
      <c r="I14" s="12" t="inlineStr">
        <is>
          <t>実務研修の年の年末、帰省したリーズの古い映画館で父と見た唯一の映画（父は途中で寝た）。モダニズムの建物の前で、人が黙って立っている時間を急がない。何も起きない場面の撮り方。</t>
        </is>
      </c>
      <c r="J14" s="12" t="inlineStr">
        <is>
          <t>何も起きない時間を急がない曲の入り方（イントロ 8 小節で吸う息とローパスのエレピだけ）と、動かないカメラで建物と人を撮るジャケットや動画の静止した構図。</t>
        </is>
      </c>
    </row>
    <row r="15">
      <c r="A15" s="37" t="inlineStr">
        <is>
          <t>nao_easterly</t>
        </is>
      </c>
      <c r="B15" s="27" t="inlineStr">
        <is>
          <t>nao</t>
        </is>
      </c>
      <c r="C15" s="13" t="inlineStr">
        <is>
          <t>採用</t>
        </is>
      </c>
      <c r="D15" s="12" t="inlineStr">
        <is>
          <t>音楽</t>
        </is>
      </c>
      <c r="E15" s="12" t="inlineStr">
        <is>
          <t>First Love</t>
        </is>
      </c>
      <c r="F15" s="12" t="inlineStr">
        <is>
          <t>宇多田ヒカル</t>
        </is>
      </c>
      <c r="G15" s="12" t="inlineStr">
        <is>
          <t>アルバム『First Love』（1999）とその表題曲</t>
        </is>
      </c>
      <c r="H15" s="12" t="inlineStr">
        <is>
          <t>物心ついたころ（2000 年代半ば）からオデルの家の台所で。母が函館に帰省したときに買ってきた CD で、朝の支度の時間に流れていた</t>
        </is>
      </c>
      <c r="I15" s="12" t="inlineStr">
        <is>
          <t>母が函館から持ってきた CD で、オデルの台所でいつも流れていた。日本語と英語のあいだを行き来しながら言葉をはっきり置いて歌う人がいると知り、2 つの言語を持っていることは隠すものではないと受け取った。</t>
        </is>
      </c>
      <c r="J15" s="12" t="inlineStr">
        <is>
          <t>英語の歌の中に日本語を 1 語だけはっきり置く歌詞の決まりと、子音を立てて言葉を 1 音ずつ届ける歌い方に出ている</t>
        </is>
      </c>
    </row>
    <row r="16">
      <c r="A16" s="37" t="inlineStr">
        <is>
          <t>nao_easterly</t>
        </is>
      </c>
      <c r="B16" s="27" t="inlineStr">
        <is>
          <t>nao</t>
        </is>
      </c>
      <c r="C16" s="13" t="inlineStr">
        <is>
          <t>採用</t>
        </is>
      </c>
      <c r="D16" s="12" t="inlineStr">
        <is>
          <t>音楽</t>
        </is>
      </c>
      <c r="E16" s="12" t="inlineStr">
        <is>
          <t>Songs from the Big Chair</t>
        </is>
      </c>
      <c r="F16" s="12" t="inlineStr">
        <is>
          <t>Tears for Fears</t>
        </is>
      </c>
      <c r="G16" s="12" t="inlineStr">
        <is>
          <t>アルバム『Songs from the Big Chair』（1985）の 3 曲目「Everybody Wants to Rule the World」</t>
        </is>
      </c>
      <c r="H16" s="12" t="inlineStr">
        <is>
          <t>4〜5 歳の冬（2006〜07 年）・オデル。父の除雪用ピックアップのカセットデッキに入りっぱなしだったテープで、助手席で何度も聴いた</t>
        </is>
      </c>
      <c r="I16" s="12" t="inlineStr">
        <is>
          <t>父のピックアップのカセットデッキに入りっぱなしだったテープ。除雪の朝に何度も聴き、前へ進み続ける推進力と明るいシンセの音色が、夜明けの道の音として体に残った。</t>
        </is>
      </c>
      <c r="J16" s="12" t="inlineStr">
        <is>
          <t>同じフレーズを繰り返しながら少しずつ開いていく曲の形と、明るいシンセを何層か重ねるイントロに出ている。テンポを急がず前へ進む感じも、除雪の朝の記憶とつながっている</t>
        </is>
      </c>
    </row>
    <row r="17">
      <c r="A17" s="37" t="inlineStr">
        <is>
          <t>nao_easterly</t>
        </is>
      </c>
      <c r="B17" s="27" t="inlineStr">
        <is>
          <t>nao</t>
        </is>
      </c>
      <c r="C17" s="13" t="inlineStr">
        <is>
          <t>採用</t>
        </is>
      </c>
      <c r="D17" s="12" t="inlineStr">
        <is>
          <t>音楽</t>
        </is>
      </c>
      <c r="E17" s="12" t="inlineStr">
        <is>
          <t>The Bones of What You Believe</t>
        </is>
      </c>
      <c r="F17" s="12" t="inlineStr">
        <is>
          <t>CHVRCHES</t>
        </is>
      </c>
      <c r="G17" s="12" t="inlineStr">
        <is>
          <t>アルバム『The Bones of What You Believe』（2013）の 1 曲目「The Mother We Share」</t>
        </is>
      </c>
      <c r="H17" s="12" t="inlineStr">
        <is>
          <t>13 歳の春（2015 年）・フッドリバー。中古のシンセの使い方を動画で調べていて、ライブ映像にたどり着いた</t>
        </is>
      </c>
      <c r="I17" s="12" t="inlineStr">
        <is>
          <t>13 歳でシンセを手に入れたころに見つけたアルバム。硬い 8 分のシンセの上で高い声が子音をはっきり立てて歌う形を、そのまま自分の歌い方の手本にした。</t>
        </is>
      </c>
      <c r="J17" s="12" t="inlineStr">
        <is>
          <t>硬い 8 分のシンセアルペジオを曲の背骨にする作り方と、高い地声で子音を拍の頭に置く歌い方に、いちばん直接に出ている</t>
        </is>
      </c>
    </row>
    <row r="18">
      <c r="A18" s="37" t="inlineStr">
        <is>
          <t>nao_easterly</t>
        </is>
      </c>
      <c r="B18" s="27" t="inlineStr">
        <is>
          <t>nao</t>
        </is>
      </c>
      <c r="C18" s="13" t="inlineStr">
        <is>
          <t>採用</t>
        </is>
      </c>
      <c r="D18" s="12" t="inlineStr">
        <is>
          <t>本</t>
        </is>
      </c>
      <c r="E18" s="12" t="inlineStr">
        <is>
          <t>The Lathe of Heaven（天のろくろ）</t>
        </is>
      </c>
      <c r="F18" s="12" t="inlineStr">
        <is>
          <t>Ursula K. Le Guin</t>
        </is>
      </c>
      <c r="G18" s="12" t="inlineStr">
        <is>
          <t>長編小説『The Lathe of Heaven』（1971）</t>
        </is>
      </c>
      <c r="H18" s="12" t="inlineStr">
        <is>
          <t>21 歳の春（2023 年）・ポートランドに移ってすぐ、配送明けに寄った近所の古本屋で</t>
        </is>
      </c>
      <c r="I18" s="12" t="inlineStr">
        <is>
          <t>ポートランドの古本屋で買った、この街が舞台の小説。知っている通りや橋が物語に出てくるのを読み、自分の住む場所や毎日の道も物語の舞台になると知った。</t>
        </is>
      </c>
      <c r="J18" s="12" t="inlineStr">
        <is>
          <t>通りの名前や橋を歌詞にそのまま入れる書き方（Alberta・Fremont など）と、自分の配送ルートを歌の舞台にする発想に出ている</t>
        </is>
      </c>
    </row>
    <row r="19">
      <c r="A19" s="37" t="inlineStr">
        <is>
          <t>nao_easterly</t>
        </is>
      </c>
      <c r="B19" s="27" t="inlineStr">
        <is>
          <t>nao</t>
        </is>
      </c>
      <c r="C19" s="13" t="inlineStr">
        <is>
          <t>採用</t>
        </is>
      </c>
      <c r="D19" s="12" t="inlineStr">
        <is>
          <t>本</t>
        </is>
      </c>
      <c r="E19" s="12" t="inlineStr">
        <is>
          <t>旅をする木</t>
        </is>
      </c>
      <c r="F19" s="12" t="inlineStr">
        <is>
          <t>星野道夫</t>
        </is>
      </c>
      <c r="G19" s="12" t="inlineStr">
        <is>
          <t>随筆集『旅をする木』（1995）</t>
        </is>
      </c>
      <c r="H19" s="12" t="inlineStr">
        <is>
          <t>20 歳（2022 年）・函館の祖母の家。子どものころから本棚で背表紙だけ知っていたのを、祖母と暮らした冬に初めて読んだ</t>
        </is>
      </c>
      <c r="I19" s="12" t="inlineStr">
        <is>
          <t>函館の祖母の家の本棚にあった。遠く離れた土地で暮らしながら別の場所に流れている時間を同時に思う書き方に、時差のある家族を持つ自分を重ねた。</t>
        </is>
      </c>
      <c r="J19" s="12" t="inlineStr">
        <is>
          <t>自分の朝と家族の夜を 1 曲の中に同時に置く歌（時差の歌）と、遠くの人に語りかける二人称の視点に出ている</t>
        </is>
      </c>
    </row>
    <row r="20">
      <c r="A20" s="37" t="inlineStr">
        <is>
          <t>nao_easterly</t>
        </is>
      </c>
      <c r="B20" s="27" t="inlineStr">
        <is>
          <t>nao</t>
        </is>
      </c>
      <c r="C20" s="13" t="inlineStr">
        <is>
          <t>採用</t>
        </is>
      </c>
      <c r="D20" s="12" t="inlineStr">
        <is>
          <t>映画</t>
        </is>
      </c>
      <c r="E20" s="12" t="inlineStr">
        <is>
          <t>Paterson</t>
        </is>
      </c>
      <c r="F20" s="12" t="inlineStr">
        <is>
          <t>Jim Jarmusch</t>
        </is>
      </c>
      <c r="G20" s="12" t="inlineStr">
        <is>
          <t>映画『Paterson』（2016）</t>
        </is>
      </c>
      <c r="H20" s="12" t="inlineStr">
        <is>
          <t>21 歳の冬（2023 年）・ポートランド。配送ルートの最後のカフェの店主に勧められ、自宅で配信で観た</t>
        </is>
      </c>
      <c r="I20" s="12" t="inlineStr">
        <is>
          <t>毎朝同じ時間に起きてバスを運転し、合間に詩を書く主人公。早朝の仕事と創作が同じ一日の中にあっていいと背中を押され、配送の信号待ちで言葉を拾う今のやり方につながった。</t>
        </is>
      </c>
      <c r="J20" s="12" t="inlineStr">
        <is>
          <t>信号待ちで言葉を拾い午後に書く今の作詞のやり方と、毎日同じ仕事の細部を淡々と並べる歌詞のトーンに出ている</t>
        </is>
      </c>
    </row>
    <row r="21">
      <c r="A21" s="37" t="inlineStr">
        <is>
          <t>nao_easterly</t>
        </is>
      </c>
      <c r="B21" s="27" t="inlineStr">
        <is>
          <t>nao</t>
        </is>
      </c>
      <c r="C21" s="13" t="inlineStr">
        <is>
          <t>採用</t>
        </is>
      </c>
      <c r="D21" s="12" t="inlineStr">
        <is>
          <t>言葉</t>
        </is>
      </c>
      <c r="E21" s="12" t="inlineStr">
        <is>
          <t>Morning is when I am awake and there is a dawn in me.（『Walden』より）</t>
        </is>
      </c>
      <c r="F21" s="12" t="inlineStr">
        <is>
          <t>Henry David Thoreau</t>
        </is>
      </c>
      <c r="G21" s="12" t="inlineStr">
        <is>
          <t>『Walden』（1854）の章「Where I Lived, and What I Lived For」の一節</t>
        </is>
      </c>
      <c r="H21" s="12" t="inlineStr">
        <is>
          <t>高校 2 年（2018〜19 年）・フッドリバーの高校の英語の授業で</t>
        </is>
      </c>
      <c r="I21" s="12" t="inlineStr">
        <is>
          <t>高校の英語の授業で出会った一文。朝は時刻ではなく自分が目を覚ましている状態のことだと受け取り、その年の日の出ノートの表紙の裏に書き写した。</t>
        </is>
      </c>
      <c r="J21" s="12" t="inlineStr">
        <is>
          <t>朝を時刻ではなく気持ちの状態として書く歌詞と、日の出ノートの表紙の裏に今も書き写していることに出ている</t>
        </is>
      </c>
    </row>
    <row r="22">
      <c r="A22" s="38" t="inlineStr">
        <is>
          <t>soft_cantilever</t>
        </is>
      </c>
      <c r="B22" s="27" t="inlineStr">
        <is>
          <t>kino</t>
        </is>
      </c>
      <c r="C22" s="13" t="inlineStr">
        <is>
          <t>採用</t>
        </is>
      </c>
      <c r="D22" s="12" t="inlineStr">
        <is>
          <t>音楽</t>
        </is>
      </c>
      <c r="E22" s="12" t="inlineStr">
        <is>
          <t>Making Love Out of Nothing at All</t>
        </is>
      </c>
      <c r="F22" s="12" t="inlineStr">
        <is>
          <t>Air Supply</t>
        </is>
      </c>
      <c r="G22" s="12" t="inlineStr">
        <is>
          <t>1983 年のベスト盤『Greatest Hits』に新曲として入ったシングル（作詞作曲 Jim Steinman）</t>
        </is>
      </c>
      <c r="H22" s="12" t="inlineStr">
        <is>
          <t>2002〜2003 年ごろ・4〜5 歳。St Albans の親戚の家のカラオケで、父が毎回締めに歌っていた。オーストラリアのバンドの曲だと知ったのは中等学校に入ってから。</t>
        </is>
      </c>
      <c r="I22" s="12" t="inlineStr">
        <is>
          <t>父が親戚の集まりのカラオケで毎回歌った、フィリピンで愛されたオーストラリアのバンドの曲。2 つの故郷が 1 曲でつながっていると後で気づいた。照れずに大きなメロディを歌い切ること。</t>
        </is>
      </c>
      <c r="J22" s="12" t="inlineStr">
        <is>
          <t>サビの頂点の音を照れずに地声で 2 拍伸ばす歌い方と、いちばん高い音に曲中で 1 回だけ届くサビの組み立て。ライブの最後には客が一緒に歌える大きなメロディの曲を必ず置く。</t>
        </is>
      </c>
    </row>
    <row r="23">
      <c r="A23" s="38" t="inlineStr">
        <is>
          <t>soft_cantilever</t>
        </is>
      </c>
      <c r="B23" s="27" t="inlineStr">
        <is>
          <t>kino</t>
        </is>
      </c>
      <c r="C23" s="13" t="inlineStr">
        <is>
          <t>採用</t>
        </is>
      </c>
      <c r="D23" s="12" t="inlineStr">
        <is>
          <t>音楽</t>
        </is>
      </c>
      <c r="E23" s="12" t="inlineStr">
        <is>
          <t>Ang Huling El Bimbo</t>
        </is>
      </c>
      <c r="F23" s="12" t="inlineStr">
        <is>
          <t>Eraserheads</t>
        </is>
      </c>
      <c r="G23" s="12" t="inlineStr">
        <is>
          <t>アルバム『Cutterpillow』（1995）収録</t>
        </is>
      </c>
      <c r="H23" s="12" t="inlineStr">
        <is>
          <t>2012 年の夏（12 月）・14 歳。マニラから来たいとこが、部屋でコードを紙に書いて教えてくれた最初の曲の 1 つ。</t>
        </is>
      </c>
      <c r="I23" s="12" t="inlineStr">
        <is>
          <t>2012 年の夏、マニラから来たいとこがギターで教えてくれた曲。昔の友人や台所や路地の固有名詞だけで、青春の終わりを淡々と語る書き方。</t>
        </is>
      </c>
      <c r="J23" s="12" t="inlineStr">
        <is>
          <t>感情の言葉を使わず、持ち物や店や地名の固有名詞で場面を埋める歌詞。A メロで同じ音を連打して話すように進むメロディ。</t>
        </is>
      </c>
    </row>
    <row r="24">
      <c r="A24" s="38" t="inlineStr">
        <is>
          <t>soft_cantilever</t>
        </is>
      </c>
      <c r="B24" s="27" t="inlineStr">
        <is>
          <t>kino</t>
        </is>
      </c>
      <c r="C24" s="13" t="inlineStr">
        <is>
          <t>採用</t>
        </is>
      </c>
      <c r="D24" s="12" t="inlineStr">
        <is>
          <t>映画</t>
        </is>
      </c>
      <c r="E24" s="12" t="inlineStr">
        <is>
          <t>The Castle（1997）</t>
        </is>
      </c>
      <c r="F24" s="12" t="inlineStr">
        <is>
          <t>Rob Sitch</t>
        </is>
      </c>
      <c r="G24" s="12" t="inlineStr">
        <is>
          <t>1997 年のオーストラリア映画。メルボルン空港のそばの家が舞台</t>
        </is>
      </c>
      <c r="H24" s="12" t="inlineStr">
        <is>
          <t>2012 年・14 歳。中等学校の英語の授業で観て、そのあと家族で DVD を何度も観た。</t>
        </is>
      </c>
      <c r="I24" s="12" t="inlineStr">
        <is>
          <t>空港のそばの家を守る郊外の家族の喜劇。家の価値は値段ではなく暮らしの記憶で決まること。郊外をからかわずに愛するユーモア。</t>
        </is>
      </c>
      <c r="J24" s="12" t="inlineStr">
        <is>
          <t>郊外の暮らしを笑いながらも見下さない歌詞のユーモア（パイの好みや給油のレシート）。ライブの MC で家族と郊外の話を自虐せずに笑いにする話し方。</t>
        </is>
      </c>
    </row>
    <row r="25">
      <c r="A25" s="38" t="inlineStr">
        <is>
          <t>soft_cantilever</t>
        </is>
      </c>
      <c r="B25" s="27" t="inlineStr">
        <is>
          <t>kino</t>
        </is>
      </c>
      <c r="C25" s="13" t="inlineStr">
        <is>
          <t>採用</t>
        </is>
      </c>
      <c r="D25" s="12" t="inlineStr">
        <is>
          <t>本</t>
        </is>
      </c>
      <c r="E25" s="12" t="inlineStr">
        <is>
          <t>Touch This Earth Lightly: Glenn Murcutt in His Own Words（1999）</t>
        </is>
      </c>
      <c r="F25" s="12" t="inlineStr">
        <is>
          <t>Philip Drew</t>
        </is>
      </c>
      <c r="G25" s="12" t="inlineStr">
        <is>
          <t>1999 年刊の建築家の対話の本。学部 2 年の設計課題の参考図書</t>
        </is>
      </c>
      <c r="H25" s="12" t="inlineStr">
        <is>
          <t>2018 年 3 月・19 歳。学部 2 年の設計の授業で講師に勧められ、大学図書館で借りた。</t>
        </is>
      </c>
      <c r="I25" s="12" t="inlineStr">
        <is>
          <t>学部 2 年の課題図書。大地に軽く触れる建物という考えが、重く支えず軽く持ちこたえる歌の作り方につながった。</t>
        </is>
      </c>
      <c r="J25" s="12" t="inlineStr">
        <is>
          <t>ギターを 3 音の小さな和音にして音を重ねすぎず、隙間を残すアレンジ。ジャケットや字幕の細い寸法線だけの軽い見た目。</t>
        </is>
      </c>
    </row>
    <row r="26">
      <c r="A26" s="38" t="inlineStr">
        <is>
          <t>soft_cantilever</t>
        </is>
      </c>
      <c r="B26" s="27" t="inlineStr">
        <is>
          <t>bia</t>
        </is>
      </c>
      <c r="C26" s="13" t="inlineStr">
        <is>
          <t>採用</t>
        </is>
      </c>
      <c r="D26" s="12" t="inlineStr">
        <is>
          <t>音楽</t>
        </is>
      </c>
      <c r="E26" s="12" t="inlineStr">
        <is>
          <t>Plastic Love</t>
        </is>
      </c>
      <c r="F26" s="12" t="inlineStr">
        <is>
          <t>Mariya Takeuchi</t>
        </is>
      </c>
      <c r="G26" s="12" t="inlineStr">
        <is>
          <t>アルバム『VARIETY』（1984）収録。編曲は山下達郎</t>
        </is>
      </c>
      <c r="H26" s="12" t="inlineStr">
        <is>
          <t>2017 年・20 歳。Carlton のワンルームで、動画サイトのおすすめに出てきた。</t>
        </is>
      </c>
      <c r="I26" s="12" t="inlineStr">
        <is>
          <t>2017 年、メルボルンの部屋で動画サイトのおすすめに出てきて、浜松の団地のテレビから流れていた日本語の響きを思い出した。都会の寂しさを明るいグルーヴで包む方法。</t>
        </is>
      </c>
      <c r="J26" s="12" t="inlineStr">
        <is>
          <t>跳ねる 16 分のベースに寂しい言葉を明るく乗せる曲の設計。ビアのハモりの、日本語の歌のような柔らかい母音。</t>
        </is>
      </c>
    </row>
    <row r="27">
      <c r="A27" s="38" t="inlineStr">
        <is>
          <t>soft_cantilever</t>
        </is>
      </c>
      <c r="B27" s="27" t="inlineStr">
        <is>
          <t>bia</t>
        </is>
      </c>
      <c r="C27" s="13" t="inlineStr">
        <is>
          <t>採用</t>
        </is>
      </c>
      <c r="D27" s="12" t="inlineStr">
        <is>
          <t>音楽</t>
        </is>
      </c>
      <c r="E27" s="12" t="inlineStr">
        <is>
          <t>Estrelar</t>
        </is>
      </c>
      <c r="F27" s="12" t="inlineStr">
        <is>
          <t>Marcos Valle</t>
        </is>
      </c>
      <c r="G27" s="12" t="inlineStr">
        <is>
          <t>アルバム『Marcos Valle』（1983）の 1 曲目。Leon Ware との共作</t>
        </is>
      </c>
      <c r="H27" s="12" t="inlineStr">
        <is>
          <t>2011 年・14 歳。サンパウロ Saúde のアパートで、父が日曜の朝にかけていたレコード。ベースを始めた年に最初に耳でコピーした。</t>
        </is>
      </c>
      <c r="I27" s="12" t="inlineStr">
        <is>
          <t>サンパウロのアパートで父が日曜の朝に流したレコード。跳ねるベースが体操のように前へ進む明るさ。ベースを始めたとき最初に耳でコピーした。</t>
        </is>
      </c>
      <c r="J27" s="12" t="inlineStr">
        <is>
          <t>オクターブで跳ねるベースラインと、サビ前に 1 オクターブ上へスライドして戻る癖。体を前へ押すような明るい 16 ビート。</t>
        </is>
      </c>
    </row>
    <row r="28">
      <c r="A28" s="38" t="inlineStr">
        <is>
          <t>soft_cantilever</t>
        </is>
      </c>
      <c r="B28" s="27" t="inlineStr">
        <is>
          <t>bia</t>
        </is>
      </c>
      <c r="C28" s="13" t="inlineStr">
        <is>
          <t>採用</t>
        </is>
      </c>
      <c r="D28" s="12" t="inlineStr">
        <is>
          <t>絵</t>
        </is>
      </c>
      <c r="E28" s="12" t="inlineStr">
        <is>
          <t>大きな曲線の色面の抽象画（サンパウロの美術館で見た連作）</t>
        </is>
      </c>
      <c r="F28" s="12" t="inlineStr">
        <is>
          <t>Tomie Ohtake</t>
        </is>
      </c>
      <c r="G28" s="12" t="inlineStr">
        <is>
          <t>1990 年代以降の大きな曲線の色面の抽象画（サンパウロの Instituto Tomie Ohtake の展示）</t>
        </is>
      </c>
      <c r="H28" s="12" t="inlineStr">
        <is>
          <t>2014 年・17 歳。高校の美術の見学で Pinheiros の Instituto Tomie Ohtake に行った。</t>
        </is>
      </c>
      <c r="I28" s="12" t="inlineStr">
        <is>
          <t>日本からブラジルへ渡った画家の、1 本の大きな曲線で画面を支える構成。曲を 1 本のベースラインで支えるという考えのもと。</t>
        </is>
      </c>
      <c r="J28" s="12" t="inlineStr">
        <is>
          <t>曲の断面図を 1 本の曲線のベースラインから描き始める作り方。ジャケットに寸法線を 1 本だけ重ねる見た目の決まり。</t>
        </is>
      </c>
    </row>
    <row r="29">
      <c r="A29" s="38" t="inlineStr">
        <is>
          <t>soft_cantilever</t>
        </is>
      </c>
      <c r="B29" s="27" t="inlineStr">
        <is>
          <t>bia</t>
        </is>
      </c>
      <c r="C29" s="13" t="inlineStr">
        <is>
          <t>採用</t>
        </is>
      </c>
      <c r="D29" s="12" t="inlineStr">
        <is>
          <t>言葉</t>
        </is>
      </c>
      <c r="E29" s="12" t="inlineStr">
        <is>
          <t>Não é o ângulo reto que me atrai, nem a linha reta, dura, inflexível, criada pelo homem. O que me atrai é a curva livre e sensual.</t>
        </is>
      </c>
      <c r="F29" s="12" t="inlineStr">
        <is>
          <t>Oscar Niemeyer</t>
        </is>
      </c>
      <c r="G29" s="12" t="inlineStr">
        <is>
          <t>建築家が自分の曲線の建築について書いた短い詩の冒頭の一節（ブラジルで広く引用される）</t>
        </is>
      </c>
      <c r="H29" s="12" t="inlineStr">
        <is>
          <t>2015 年・18 歳。サンパウロの高校の美術の先生が黒板に書いた。</t>
        </is>
      </c>
      <c r="I29" s="12" t="inlineStr">
        <is>
          <t>高校の美術の先生が黒板に書いた一節。硬い直角ではなく、たわむ曲線で持ちこたえる構造への好み。バンド名の soft の半分はここから。</t>
        </is>
      </c>
      <c r="J29" s="12" t="inlineStr">
        <is>
          <t>バンド名の soft。ベースを直線的に刻まず、スライドで音と音をつなぐ弾き方と、断面図の曲線。</t>
        </is>
      </c>
    </row>
    <row r="30">
      <c r="A30" s="38" t="inlineStr">
        <is>
          <t>soft_cantilever</t>
        </is>
      </c>
      <c r="B30" s="27" t="inlineStr">
        <is>
          <t>bia</t>
        </is>
      </c>
      <c r="C30" s="13" t="inlineStr">
        <is>
          <t>採用</t>
        </is>
      </c>
      <c r="D30" s="12" t="inlineStr">
        <is>
          <t>映画</t>
        </is>
      </c>
      <c r="E30" s="12" t="inlineStr">
        <is>
          <t>Drive My Car（2021）</t>
        </is>
      </c>
      <c r="F30" s="12" t="inlineStr">
        <is>
          <t>濱口竜介（Ryusuke Hamaguchi）</t>
        </is>
      </c>
      <c r="G30" s="12" t="inlineStr">
        <is>
          <t>2021 年の日本映画。村上春樹の短編が原作</t>
        </is>
      </c>
      <c r="H30" s="12" t="inlineStr">
        <is>
          <t>2022 年・25 歳。メルボルンの映画館で 1 人で観た。</t>
        </is>
      </c>
      <c r="I30" s="12" t="inlineStr">
        <is>
          <t>2022 年、メルボルンの映画館で、日本語の台詞を字幕を見なくても半分聞き取れたことに泣いた。車の中だから話せることがある、という感覚。</t>
        </is>
      </c>
      <c r="J30" s="12" t="inlineStr">
        <is>
          <t>移動中の車内の会話と沈黙を歌うテーマ。両親をバンに乗せた日の、父が黙って頷き続ける歌の種の書き方。</t>
        </is>
      </c>
    </row>
    <row r="31">
      <c r="A31" s="38" t="inlineStr">
        <is>
          <t>soft_cantilever</t>
        </is>
      </c>
      <c r="B31" s="27" t="inlineStr">
        <is>
          <t>tav</t>
        </is>
      </c>
      <c r="C31" s="13" t="inlineStr">
        <is>
          <t>採用</t>
        </is>
      </c>
      <c r="D31" s="12" t="inlineStr">
        <is>
          <t>音楽</t>
        </is>
      </c>
      <c r="E31" s="12" t="inlineStr">
        <is>
          <t>Wandering Eye</t>
        </is>
      </c>
      <c r="F31" s="12" t="inlineStr">
        <is>
          <t>Fat Freddy's Drop</t>
        </is>
      </c>
      <c r="G31" s="12" t="inlineStr">
        <is>
          <t>アルバム『Based on a True Story』（2005）収録</t>
        </is>
      </c>
      <c r="H31" s="12" t="inlineStr">
        <is>
          <t>2005〜2006 年・6〜7 歳。Napier で父の現場のトラックの CD で毎日流れていた。</t>
        </is>
      </c>
      <c r="I31" s="12" t="inlineStr">
        <is>
          <t>2005 年ごろ、父が現場のトラックでずっと流していたニュージーランドのバンドの曲。拍の後ろにゆったり座るグルーヴと、急がないことの強さ。</t>
        </is>
      </c>
      <c r="J31" s="12" t="inlineStr">
        <is>
          <t>スネアの 2 拍 4 拍をわずかに遅らせて座らせる叩き方と、テンポを上げずに盛り上げるサビ。</t>
        </is>
      </c>
    </row>
    <row r="32">
      <c r="A32" s="38" t="inlineStr">
        <is>
          <t>soft_cantilever</t>
        </is>
      </c>
      <c r="B32" s="27" t="inlineStr">
        <is>
          <t>tav</t>
        </is>
      </c>
      <c r="C32" s="13" t="inlineStr">
        <is>
          <t>採用</t>
        </is>
      </c>
      <c r="D32" s="12" t="inlineStr">
        <is>
          <t>音楽</t>
        </is>
      </c>
      <c r="E32" s="12" t="inlineStr">
        <is>
          <t>Weather With You</t>
        </is>
      </c>
      <c r="F32" s="12" t="inlineStr">
        <is>
          <t>Crowded House</t>
        </is>
      </c>
      <c r="G32" s="12" t="inlineStr">
        <is>
          <t>アルバム『Woodface』（1991）収録</t>
        </is>
      </c>
      <c r="H32" s="12" t="inlineStr">
        <is>
          <t>2012 年 1 月・13 歳。移住の日に Napier から空港へ向かう車で母がかけた。</t>
        </is>
      </c>
      <c r="I32" s="12" t="inlineStr">
        <is>
          <t>移住の日、Napier から空港へ向かう車で母がかけた曲。故郷を離れても天気は連れていける、という気持ちと、男声のハーモニーの重ね方。</t>
        </is>
      </c>
      <c r="J32" s="12" t="inlineStr">
        <is>
          <t>タヴのコーラスの低いユニゾンの重ね方と、離れることを明るい長調で歌う曲への好み。</t>
        </is>
      </c>
    </row>
    <row r="33">
      <c r="A33" s="38" t="inlineStr">
        <is>
          <t>soft_cantilever</t>
        </is>
      </c>
      <c r="B33" s="27" t="inlineStr">
        <is>
          <t>tav</t>
        </is>
      </c>
      <c r="C33" s="13" t="inlineStr">
        <is>
          <t>採用</t>
        </is>
      </c>
      <c r="D33" s="12" t="inlineStr">
        <is>
          <t>音楽</t>
        </is>
      </c>
      <c r="E33" s="12" t="inlineStr">
        <is>
          <t>Dean Town</t>
        </is>
      </c>
      <c r="F33" s="12" t="inlineStr">
        <is>
          <t>Vulfpeck</t>
        </is>
      </c>
      <c r="G33" s="12" t="inlineStr">
        <is>
          <t>アルバム『The Beautiful Game』（2016）収録・演奏動画</t>
        </is>
      </c>
      <c r="H33" s="12" t="inlineStr">
        <is>
          <t>2017 年・18 歳。学部 1 年の製図室で、自分のノートパソコンでキノとビアに見せた。</t>
        </is>
      </c>
      <c r="I33" s="12" t="inlineStr">
        <is>
          <t>大学 1 年のとき、製図室でキノとビアに見せた演奏動画。最小の編成でベースとドラムが曲の骨組みになれること。</t>
        </is>
      </c>
      <c r="J33" s="12" t="inlineStr">
        <is>
          <t>ギターとベースのユニゾンのリフにドラムがキメで合わせる間奏と、ベースとドラムだけで始まるイントロ。</t>
        </is>
      </c>
    </row>
    <row r="34">
      <c r="A34" s="38" t="inlineStr">
        <is>
          <t>soft_cantilever</t>
        </is>
      </c>
      <c r="B34" s="27" t="inlineStr">
        <is>
          <t>tav</t>
        </is>
      </c>
      <c r="C34" s="13" t="inlineStr">
        <is>
          <t>採用</t>
        </is>
      </c>
      <c r="D34" s="12" t="inlineStr">
        <is>
          <t>映画</t>
        </is>
      </c>
      <c r="E34" s="12" t="inlineStr">
        <is>
          <t>Boy（2010）</t>
        </is>
      </c>
      <c r="F34" s="12" t="inlineStr">
        <is>
          <t>Taika Waititi</t>
        </is>
      </c>
      <c r="G34" s="12" t="inlineStr">
        <is>
          <t>2010 年のニュージーランド映画</t>
        </is>
      </c>
      <c r="H34" s="12" t="inlineStr">
        <is>
          <t>2010 年・11 歳。Napier の映画館で家族全員で観た。</t>
        </is>
      </c>
      <c r="I34" s="12" t="inlineStr">
        <is>
          <t>11 歳のとき、Napier の映画館で家族全員で観た。ニュージーランドの田舎の暮らしを、悲しい話でも笑いながら描くやり方。</t>
        </is>
      </c>
      <c r="J34" s="12" t="inlineStr">
        <is>
          <t>ライブの MC で悲しい話も笑いながら短く話すタヴの話し方と、動画の字幕の素朴なユーモア。</t>
        </is>
      </c>
    </row>
    <row r="35">
      <c r="A35" s="38" t="inlineStr">
        <is>
          <t>soft_cantilever</t>
        </is>
      </c>
      <c r="B35" s="27" t="inlineStr">
        <is>
          <t>tav</t>
        </is>
      </c>
      <c r="C35" s="13" t="inlineStr">
        <is>
          <t>採用</t>
        </is>
      </c>
      <c r="D35" s="12" t="inlineStr">
        <is>
          <t>本</t>
        </is>
      </c>
      <c r="E35" s="12" t="inlineStr">
        <is>
          <t>Shop Class as Soulcraft（2009）</t>
        </is>
      </c>
      <c r="F35" s="12" t="inlineStr">
        <is>
          <t>Matthew B. Crawford</t>
        </is>
      </c>
      <c r="G35" s="12" t="inlineStr">
        <is>
          <t>2009 年刊のアメリカの哲学者の本</t>
        </is>
      </c>
      <c r="H35" s="12" t="inlineStr">
        <is>
          <t>2021 年・22 歳。父が腰を痛めて代わりに現場に出ていたころ、見習いになるか迷って読んだ。</t>
        </is>
      </c>
      <c r="I35" s="12" t="inlineStr">
        <is>
          <t>修士を出て見習いになるか迷っていた 2021 年に読んだ。手で作る仕事に頭も誇りも要るという考えが、背中を押した。</t>
        </is>
      </c>
      <c r="J35" s="12" t="inlineStr">
        <is>
          <t>機材ケースや物販の棚や自作のスネアを自分の手で作ること。演奏でも見せる技より持ちこたえる確かさを選ぶ姿勢。</t>
        </is>
      </c>
    </row>
    <row r="36">
      <c r="A36" s="39" t="inlineStr">
        <is>
          <t>tidewool</t>
        </is>
      </c>
      <c r="B36" s="27" t="inlineStr">
        <is>
          <t>isla</t>
        </is>
      </c>
      <c r="C36" s="13" t="inlineStr">
        <is>
          <t>採用</t>
        </is>
      </c>
      <c r="D36" s="12" t="inlineStr">
        <is>
          <t>音楽</t>
        </is>
      </c>
      <c r="E36" s="12" t="inlineStr">
        <is>
          <t>Woodface</t>
        </is>
      </c>
      <c r="F36" s="12" t="inlineStr">
        <is>
          <t>Crowded House</t>
        </is>
      </c>
      <c r="G36" s="12" t="inlineStr">
        <is>
          <t>アルバム『Woodface』（1991）。とくに 5 曲目『Weather With You』と 7 曲目『Four Seasons in One Day』のフィン兄弟の 2 声</t>
        </is>
      </c>
      <c r="H36" s="12" t="inlineStr">
        <is>
          <t>2000 年前後（4〜6 歳）・オタゴの牧場で父の車のカセットを繰り返し聴いた。砂利道を走る 1 時間、兄と後部座席でハモりの真似をした。</t>
        </is>
      </c>
      <c r="I36" s="12" t="inlineStr">
        <is>
          <t>父の車のカセット。オタゴの砂利道を 1 時間走るあいだ、兄と後部座席でハモりの真似をした。兄弟の声が重なる気持ちよさと、自分の国の人が作った歌が世界で鳴るという実感。</t>
        </is>
      </c>
      <c r="J36" s="12" t="inlineStr">
        <is>
          <t>上のハモりを主旋律の 3 度上にぴたりと平行に付ける癖。A メロを 1 人で低く語り、サビで 2 声が開く曲の形。天気を気持ちの比喩にしても重くしない歌詞の温度。</t>
        </is>
      </c>
    </row>
    <row r="37">
      <c r="A37" s="39" t="inlineStr">
        <is>
          <t>tidewool</t>
        </is>
      </c>
      <c r="B37" s="27" t="inlineStr">
        <is>
          <t>isla</t>
        </is>
      </c>
      <c r="C37" s="13" t="inlineStr">
        <is>
          <t>採用</t>
        </is>
      </c>
      <c r="D37" s="12" t="inlineStr">
        <is>
          <t>音楽</t>
        </is>
      </c>
      <c r="E37" s="12" t="inlineStr">
        <is>
          <t>Submarine Bells</t>
        </is>
      </c>
      <c r="F37" s="12" t="inlineStr">
        <is>
          <t>The Chills</t>
        </is>
      </c>
      <c r="G37" s="12" t="inlineStr">
        <is>
          <t>アルバム『Submarine Bells』（1990）。1 曲目の『Heavenly Pop Hit』</t>
        </is>
      </c>
      <c r="H37" s="12" t="inlineStr">
        <is>
          <t>2009 年頃（14 歳）・ダニーデンの寄宿学校で、ギターを教えてくれた上級生が CD を貸してくれた。</t>
        </is>
      </c>
      <c r="I37" s="12" t="inlineStr">
        <is>
          <t>ダニーデンの寄宿学校の上級生が貸してくれた CD。坂と雨の多い自分たちの街から生まれた、少し陰りのある明るいギターの音。自分の町の天気を歌っていいと知った。</t>
        </is>
      </c>
      <c r="J37" s="12" t="inlineStr">
        <is>
          <t>長調の明るい刻みの中に 1 つだけ陰る和音を置く感覚。歌詞に坂や雨や霜など自分の町の天気をそのまま書き込むこと。</t>
        </is>
      </c>
    </row>
    <row r="38">
      <c r="A38" s="39" t="inlineStr">
        <is>
          <t>tidewool</t>
        </is>
      </c>
      <c r="B38" s="27" t="inlineStr">
        <is>
          <t>isla</t>
        </is>
      </c>
      <c r="C38" s="13" t="inlineStr">
        <is>
          <t>採用</t>
        </is>
      </c>
      <c r="D38" s="12" t="inlineStr">
        <is>
          <t>音楽</t>
        </is>
      </c>
      <c r="E38" s="12" t="inlineStr">
        <is>
          <t>Time (The Revelator)</t>
        </is>
      </c>
      <c r="F38" s="12" t="inlineStr">
        <is>
          <t>Gillian Welch</t>
        </is>
      </c>
      <c r="G38" s="12" t="inlineStr">
        <is>
          <t>アルバム『Time (The Revelator)』（2001）。3 曲目の『Dear Someone』</t>
        </is>
      </c>
      <c r="H38" s="12" t="inlineStr">
        <is>
          <t>2014 年の夏（19 歳）・南島の牧場を回る毛刈り隊の宿舎で、先輩がスマートフォンで流してくれた。</t>
        </is>
      </c>
      <c r="I38" s="12" t="inlineStr">
        <is>
          <t>大学時代、毛刈り隊の先輩に教わったアルバム。男女 2 人だけで声とギターを重ねる最小の編成と、言葉を急がない歌い方。</t>
        </is>
      </c>
      <c r="J38" s="12" t="inlineStr">
        <is>
          <t>2 人だけの声とギターを基本の編成にする考え方。言葉を拍の少し後ろに置いて急がない歌い方。ギター 1 本で隙間を残す伴奏。</t>
        </is>
      </c>
    </row>
    <row r="39">
      <c r="A39" s="39" t="inlineStr">
        <is>
          <t>tidewool</t>
        </is>
      </c>
      <c r="B39" s="27" t="inlineStr">
        <is>
          <t>isla</t>
        </is>
      </c>
      <c r="C39" s="13" t="inlineStr">
        <is>
          <t>採用</t>
        </is>
      </c>
      <c r="D39" s="12" t="inlineStr">
        <is>
          <t>本</t>
        </is>
      </c>
      <c r="E39" s="12" t="inlineStr">
        <is>
          <t>To the Is-Land</t>
        </is>
      </c>
      <c r="F39" s="12" t="inlineStr">
        <is>
          <t>Janet Frame</t>
        </is>
      </c>
      <c r="G39" s="12" t="inlineStr">
        <is>
          <t>自伝 3 部作の第 1 巻『To the Is-Land』（1982）</t>
        </is>
      </c>
      <c r="H39" s="12" t="inlineStr">
        <is>
          <t>2010 年頃（15 歳）・ダニーデンの寄宿学校の図書室で、消灯前に少しずつ読んだ。</t>
        </is>
      </c>
      <c r="I39" s="12" t="inlineStr">
        <is>
          <t>オタゴの町で育った作家の自伝。寄宿学校の図書室で読み、貧しさや田舎の暮らしの中にこそ言葉の豊かさがあると知った。自分の土地にも書くことがあると思えた。</t>
        </is>
      </c>
      <c r="J39" s="12" t="inlineStr">
        <is>
          <t>地名や家の物を恥ずかしがらずに歌詞へ入れること。失敗や貧しさを飾らず、出来事だけで書く語り口。</t>
        </is>
      </c>
    </row>
    <row r="40">
      <c r="A40" s="39" t="inlineStr">
        <is>
          <t>tidewool</t>
        </is>
      </c>
      <c r="B40" s="27" t="inlineStr">
        <is>
          <t>isla</t>
        </is>
      </c>
      <c r="C40" s="13" t="inlineStr">
        <is>
          <t>採用</t>
        </is>
      </c>
      <c r="D40" s="12" t="inlineStr">
        <is>
          <t>絵</t>
        </is>
      </c>
      <c r="E40" s="12" t="inlineStr">
        <is>
          <t>セントラル・オタゴの風景画（マニオトト平原を描いた作品群）</t>
        </is>
      </c>
      <c r="F40" s="12" t="inlineStr">
        <is>
          <t>Grahame Sydney</t>
        </is>
      </c>
      <c r="G40" s="12" t="inlineStr">
        <is>
          <t>マニオトト平原を描いたテンペラ画の複製（『July on the Maniototo』など）</t>
        </is>
      </c>
      <c r="H40" s="12" t="inlineStr">
        <is>
          <t>物心ついた頃から・実家の居間の壁に母が掛けていた複製画。</t>
        </is>
      </c>
      <c r="I40" s="12" t="inlineStr">
        <is>
          <t>実家の居間にあった複製画。何もない平原と高い空と、ぽつんと立つ小屋。余白を怖がらないことを受け取った。</t>
        </is>
      </c>
      <c r="J40" s="12" t="inlineStr">
        <is>
          <t>イントロとアウトロに音を詰めない余白。ジャケットや写真で上 2/3 を空や壁の余白にする構図。景色を描きすぎず小屋 1 つで語る歌詞。</t>
        </is>
      </c>
    </row>
    <row r="41">
      <c r="A41" s="39" t="inlineStr">
        <is>
          <t>tidewool</t>
        </is>
      </c>
      <c r="B41" s="27" t="inlineStr">
        <is>
          <t>isla</t>
        </is>
      </c>
      <c r="C41" s="13" t="inlineStr">
        <is>
          <t>採用</t>
        </is>
      </c>
      <c r="D41" s="12" t="inlineStr">
        <is>
          <t>言葉</t>
        </is>
      </c>
      <c r="E41" s="12" t="inlineStr">
        <is>
          <t>Knit on with confidence and hope, through all crises.</t>
        </is>
      </c>
      <c r="F41" s="12" t="inlineStr">
        <is>
          <t>Elizabeth Zimmermann</t>
        </is>
      </c>
      <c r="G41" s="12" t="inlineStr">
        <is>
          <t>アメリカの編み物作家の座右の言葉として、編み手のあいだで広く知られる一文</t>
        </is>
      </c>
      <c r="H41" s="12" t="inlineStr">
        <is>
          <t>2002 年の冬休み（7 歳）・ダニーデンの祖母の家で編み物を習ったとき、本の見返しの書き写しを見た。意味が身に染みたのは腱鞘炎の 2023 年の冬。</t>
        </is>
      </c>
      <c r="I41" s="12" t="inlineStr">
        <is>
          <t>祖母が編み物の本の見返しに書き写していた一文。手を動かし続ければ、困ったときもなんとかなる。腱鞘炎の冬にも何度も読み返した。</t>
        </is>
      </c>
      <c r="J41" s="12" t="inlineStr">
        <is>
          <t>つらい出来事を歌う曲でも、最後の行を『編み始める』のような手の動作で前へ向けて終える歌詞の癖。配信の終わりの挨拶。</t>
        </is>
      </c>
    </row>
    <row r="42">
      <c r="A42" s="39" t="inlineStr">
        <is>
          <t>tidewool</t>
        </is>
      </c>
      <c r="B42" s="27" t="inlineStr">
        <is>
          <t>gethin</t>
        </is>
      </c>
      <c r="C42" s="13" t="inlineStr">
        <is>
          <t>採用</t>
        </is>
      </c>
      <c r="D42" s="12" t="inlineStr">
        <is>
          <t>音楽</t>
        </is>
      </c>
      <c r="E42" s="12" t="inlineStr">
        <is>
          <t>Ysbryd Solva</t>
        </is>
      </c>
      <c r="F42" s="12" t="inlineStr">
        <is>
          <t>Meic Stevens</t>
        </is>
      </c>
      <c r="G42" s="12" t="inlineStr">
        <is>
          <t>アルバム『Ysbryd Solva』（2002・ウェールズ語）</t>
        </is>
      </c>
      <c r="H42" s="12" t="inlineStr">
        <is>
          <t>2002 年の夏（12 歳）・地元セント・デイヴィッズで全国アイステズヴォッドが開かれた年に、父が買ってきた。</t>
        </is>
      </c>
      <c r="I42" s="12" t="inlineStr">
        <is>
          <t>同じソルヴァ生まれの歌い手が、2002 年に村での子ども時代を歌ったアルバム。12 歳のとき父が買ってきた。自分の港の名前が歌になる誇りと、ウェールズ語の歌の柔らかい子音。</t>
        </is>
      </c>
      <c r="J42" s="12" t="inlineStr">
        <is>
          <t>ウェールズ語の柔らかい子音の発音を英語の歌詞にも持ち込む下ハモの声。港の名前や道路の番号をそのまま歌に入れる勇気。</t>
        </is>
      </c>
    </row>
    <row r="43">
      <c r="A43" s="39" t="inlineStr">
        <is>
          <t>tidewool</t>
        </is>
      </c>
      <c r="B43" s="27" t="inlineStr">
        <is>
          <t>gethin</t>
        </is>
      </c>
      <c r="C43" s="13" t="inlineStr">
        <is>
          <t>採用</t>
        </is>
      </c>
      <c r="D43" s="12" t="inlineStr">
        <is>
          <t>音楽</t>
        </is>
      </c>
      <c r="E43" s="12" t="inlineStr">
        <is>
          <t>Solid Air</t>
        </is>
      </c>
      <c r="F43" s="12" t="inlineStr">
        <is>
          <t>John Martyn</t>
        </is>
      </c>
      <c r="G43" s="12" t="inlineStr">
        <is>
          <t>アルバム『Solid Air』（1973）。1 曲目の表題曲と、テープ・ディレイで指弾きを揺らした 4 曲目『I'd Rather Be the Devil』</t>
        </is>
      </c>
      <c r="H43" s="12" t="inlineStr">
        <is>
          <t>1990 年代半ば（5 歳頃から）・ソルヴァの父の作業場のレコードプレーヤーで、鉋屑を掃きながら聴いた。</t>
        </is>
      </c>
      <c r="I43" s="12" t="inlineStr">
        <is>
          <t>父が作業場で鉋をかけながら回していたレコード。指弾きのギターが波のように反復して揺れる感じと、声を楽器のように滲ませる歌い方。</t>
        </is>
      </c>
      <c r="J43" s="12" t="inlineStr">
        <is>
          <t>親指の低音の反復を崩さず、その上で和音を波のように揺らす指弾きの型。語尾を滲ませて楽器に溶かす下ハモの歌い方。</t>
        </is>
      </c>
    </row>
    <row r="44">
      <c r="A44" s="39" t="inlineStr">
        <is>
          <t>tidewool</t>
        </is>
      </c>
      <c r="B44" s="27" t="inlineStr">
        <is>
          <t>gethin</t>
        </is>
      </c>
      <c r="C44" s="13" t="inlineStr">
        <is>
          <t>採用</t>
        </is>
      </c>
      <c r="D44" s="12" t="inlineStr">
        <is>
          <t>音楽</t>
        </is>
      </c>
      <c r="E44" s="12" t="inlineStr">
        <is>
          <t>O</t>
        </is>
      </c>
      <c r="F44" s="12" t="inlineStr">
        <is>
          <t>Damien Rice</t>
        </is>
      </c>
      <c r="G44" s="12" t="inlineStr">
        <is>
          <t>アルバム『O』（2002）。2 曲目『Volcano』の男女の声の掛け合い</t>
        </is>
      </c>
      <c r="H44" s="12" t="inlineStr">
        <is>
          <t>2004 年（14 歳）・初めてのギターを買った頃、セント・デイヴィッズの中等学校のバンド仲間に CD を借りた。</t>
        </is>
      </c>
      <c r="I44" s="12" t="inlineStr">
        <is>
          <t>14 歳でギターを買った頃に聴き込んだアルバム。男女の声が小さな部屋で寄り添う距離感と、静かな曲でも熱が伝わること。</t>
        </is>
      </c>
      <c r="J44" s="12" t="inlineStr">
        <is>
          <t>ブリッジで楽器が抜けて声 2 人と持続音だけになる曲の形。マイクに近づいて小さな声で歌う録り方。</t>
        </is>
      </c>
    </row>
    <row r="45">
      <c r="A45" s="39" t="inlineStr">
        <is>
          <t>tidewool</t>
        </is>
      </c>
      <c r="B45" s="27" t="inlineStr">
        <is>
          <t>gethin</t>
        </is>
      </c>
      <c r="C45" s="13" t="inlineStr">
        <is>
          <t>採用</t>
        </is>
      </c>
      <c r="D45" s="12" t="inlineStr">
        <is>
          <t>本</t>
        </is>
      </c>
      <c r="E45" s="12" t="inlineStr">
        <is>
          <t>Under Milk Wood</t>
        </is>
      </c>
      <c r="F45" s="12" t="inlineStr">
        <is>
          <t>Dylan Thomas</t>
        </is>
      </c>
      <c r="G45" s="12" t="inlineStr">
        <is>
          <t>声の劇『Under Milk Wood』。1954 年 1 月に BBC で初めて放送された Richard Burton が語り手の録音</t>
        </is>
      </c>
      <c r="H45" s="12" t="inlineStr">
        <is>
          <t>子どもの頃（1990 年代）から毎年冬・ソルヴァの台所で母が流していた。</t>
        </is>
      </c>
      <c r="I45" s="12" t="inlineStr">
        <is>
          <t>母が毎年冬に朗読の録音を流していた、ウェールズの小さな漁村の一日を描く声の劇。村の一人ひとりの暮らしの細部を、音と言葉の響きで描く書き方。</t>
        </is>
      </c>
      <c r="J45" s="12" t="inlineStr">
        <is>
          <t>ゲシンが書き換える 2〜3 行に多い、港の人の小さな動作を並べる書き方。意味より子音の響きで言葉を選ぶ癖。</t>
        </is>
      </c>
    </row>
    <row r="46">
      <c r="A46" s="39" t="inlineStr">
        <is>
          <t>tidewool</t>
        </is>
      </c>
      <c r="B46" s="27" t="inlineStr">
        <is>
          <t>gethin</t>
        </is>
      </c>
      <c r="C46" s="13" t="inlineStr">
        <is>
          <t>採用</t>
        </is>
      </c>
      <c r="D46" s="12" t="inlineStr">
        <is>
          <t>言葉</t>
        </is>
      </c>
      <c r="E46" s="12" t="inlineStr">
        <is>
          <t>I have seen the sun break through / to illuminate a small field / for a while, and gone my way / and forgotten it.（The Bright Field）</t>
        </is>
      </c>
      <c r="F46" s="12" t="inlineStr">
        <is>
          <t>R. S. Thomas</t>
        </is>
      </c>
      <c r="G46" s="12" t="inlineStr">
        <is>
          <t>詩『The Bright Field』（詩集『Laboratories of the Spirit』1975 年）</t>
        </is>
      </c>
      <c r="H46" s="12" t="inlineStr">
        <is>
          <t>2011 年（21 歳）・ファルマスの専門学校に通っていた頃、町の図書館で借りた詩集で。</t>
        </is>
      </c>
      <c r="I46" s="12" t="inlineStr">
        <is>
          <t>専門学校の頃、ウェールズの詩人の詩集で出会った一節。ほんの短い光を見過ごさずに立ち止まること。急がない仕事の理由になった。</t>
        </is>
      </c>
      <c r="J46" s="12" t="inlineStr">
        <is>
          <t>サビの手前で 1 小節だけ立ち止まってハミングする曲の習慣。速くしたがるアイラに対して、遅いテンポを選ぶ理由。</t>
        </is>
      </c>
    </row>
    <row r="47">
      <c r="A47" s="35" t="inlineStr">
        <is>
          <t>declan_fay</t>
        </is>
      </c>
      <c r="B47" s="27" t="inlineStr">
        <is>
          <t>declan</t>
        </is>
      </c>
      <c r="C47" s="13" t="inlineStr">
        <is>
          <t>採用</t>
        </is>
      </c>
      <c r="D47" s="12" t="inlineStr">
        <is>
          <t>音楽</t>
        </is>
      </c>
      <c r="E47" s="12" t="inlineStr">
        <is>
          <t>Slave to Love</t>
        </is>
      </c>
      <c r="F47" s="12" t="inlineStr">
        <is>
          <t>Bryan Ferry</t>
        </is>
      </c>
      <c r="G47" s="12" t="inlineStr">
        <is>
          <t>アルバム『Boys and Girls』（1985）の 2 曲目『Slave to Love』。父のテープでは 1985 年のラベルの何本にも繰り返し入っている。</t>
        </is>
      </c>
      <c r="H47" s="12" t="inlineStr">
        <is>
          <t>2021 年の春から夏、母から届いた靴箱のテープを局の制作室で 1 本ずつデジタル化していて、1985 年の録音に何度も出てくるのに気づいた。</t>
        </is>
      </c>
      <c r="I47" s="12" t="inlineStr">
        <is>
          <t>張らずにささやくような低い声でも、大人の夜の色気と温度は伝わること。柔らかいパッドを何層にも重ねて、声の周りに空気を作る音の作り方。</t>
        </is>
      </c>
      <c r="J47" s="12" t="inlineStr">
        <is>
          <t>サビの頂点でも声を張らずに息を混ぜて置く歌い方と、A メロ頭の息まじりのささやき。パッドを薄く何層にも重ねて声を包むミックスに出ている。</t>
        </is>
      </c>
    </row>
    <row r="48">
      <c r="A48" s="35" t="inlineStr">
        <is>
          <t>declan_fay</t>
        </is>
      </c>
      <c r="B48" s="27" t="inlineStr">
        <is>
          <t>declan</t>
        </is>
      </c>
      <c r="C48" s="13" t="inlineStr">
        <is>
          <t>採用</t>
        </is>
      </c>
      <c r="D48" s="12" t="inlineStr">
        <is>
          <t>音楽</t>
        </is>
      </c>
      <c r="E48" s="12" t="inlineStr">
        <is>
          <t>Violator</t>
        </is>
      </c>
      <c r="F48" s="12" t="inlineStr">
        <is>
          <t>Depeche Mode</t>
        </is>
      </c>
      <c r="G48" s="12" t="inlineStr">
        <is>
          <t>アルバム『Violator』（1990）。とくに 6 曲目の『Enjoy the Silence』。</t>
        </is>
      </c>
      <c r="H48" s="12" t="inlineStr">
        <is>
          <t>2012 年、工科カレッジのラジオ実習で局の古い音源を整理していて CD を見つけ、深夜の送出番の空き時間に通して聴いた。</t>
        </is>
      </c>
      <c r="I48" s="12" t="inlineStr">
        <is>
          <t>低い男声とシンセだけで大きなサビが作れること。アルペジオとベースとパッドに役割をはっきり分ければ、音数が少なくても曲が広がること。</t>
        </is>
      </c>
      <c r="J48" s="12" t="inlineStr">
        <is>
          <t>16 分のアルペジオに細かさを任せ、低音はシンセベース 1 本だけにする楽器の分担。ギターは 1 本までという決まりと、サビの最終行のオクターブ下のダブルにも出ている。</t>
        </is>
      </c>
    </row>
    <row r="49">
      <c r="A49" s="36" t="inlineStr">
        <is>
          <t>hollowplan</t>
        </is>
      </c>
      <c r="B49" s="27" t="inlineStr">
        <is>
          <t>abena</t>
        </is>
      </c>
      <c r="C49" s="13" t="inlineStr">
        <is>
          <t>採用</t>
        </is>
      </c>
      <c r="D49" s="12" t="inlineStr">
        <is>
          <t>音楽</t>
        </is>
      </c>
      <c r="E49" s="12" t="inlineStr">
        <is>
          <t>Selected Ambient Works 85–92（アルバム）</t>
        </is>
      </c>
      <c r="F49" s="12" t="inlineStr">
        <is>
          <t>Aphex Twin</t>
        </is>
      </c>
      <c r="G49" s="12" t="inlineStr">
        <is>
          <t>アルバム『Selected Ambient Works 85–92』（1992 年・Apollo）の 1 曲目「Xtal」</t>
        </is>
      </c>
      <c r="H49" s="12" t="inlineStr">
        <is>
          <t>2016 年秋（19 歳）シェフィールドの大学の模型工房で、技術職員が夜の作業中に流していた。そのあと卒業まで、夜通し模型を作る晩に繰り返し聴いた。</t>
        </is>
      </c>
      <c r="I49" s="12" t="inlineStr">
        <is>
          <t>言葉の無い息のような声が、柔らかいビートの上で空気として漂っていること。声は歌わなくても、部屋の温度を決められると知った。</t>
        </is>
      </c>
      <c r="J49" s="12" t="inlineStr">
        <is>
          <t>声の切れ端を『歌』ではなく背景の空気として置く音量の決め方と、角の取れたキックにテープの揺れを薄くかける質感。100〜118 BPM の柔らかい帯域を選ぶ癖にも出ている。</t>
        </is>
      </c>
    </row>
    <row r="50">
      <c r="A50" s="36" t="inlineStr">
        <is>
          <t>hollowplan</t>
        </is>
      </c>
      <c r="B50" s="27" t="inlineStr">
        <is>
          <t>abena</t>
        </is>
      </c>
      <c r="C50" s="13" t="inlineStr">
        <is>
          <t>採用</t>
        </is>
      </c>
      <c r="D50" s="12" t="inlineStr">
        <is>
          <t>音楽</t>
        </is>
      </c>
      <c r="E50" s="12" t="inlineStr">
        <is>
          <t>There Is Love in You（アルバム）</t>
        </is>
      </c>
      <c r="F50" s="12" t="inlineStr">
        <is>
          <t>Four Tet</t>
        </is>
      </c>
      <c r="G50" s="12" t="inlineStr">
        <is>
          <t>アルバム『There Is Love in You』（2010 年・Domino）の 1 曲目「Angel Echoes」</t>
        </is>
      </c>
      <c r="H50" s="12" t="inlineStr">
        <is>
          <t>2020 年 5 月（23 歳）ロックダウン中のレイトン。SoundCloud に上げた『Plan 03』を聴いたオンラインの宅録仲間が『これ知ってる？』と送ってきた。</t>
        </is>
      </c>
      <c r="I50" s="12" t="inlineStr">
        <is>
          <t>短い声の断片を楽器のように重ね、ループの中で少しずつ形を変えて旋律にするやり方。</t>
        </is>
      </c>
      <c r="J50" s="12" t="inlineStr">
        <is>
          <t>曲名から取った 1〜3 語の切れ端を半音ずつ上げながら 4 回繰り返すフックと、16 小節ごとに 1 つだけ切れ端の並びを変えていく展開。</t>
        </is>
      </c>
    </row>
    <row r="51">
      <c r="A51" s="36" t="inlineStr">
        <is>
          <t>hollowplan</t>
        </is>
      </c>
      <c r="B51" s="27" t="inlineStr">
        <is>
          <t>abena</t>
        </is>
      </c>
      <c r="C51" s="13" t="inlineStr">
        <is>
          <t>採用</t>
        </is>
      </c>
      <c r="D51" s="12" t="inlineStr">
        <is>
          <t>音楽</t>
        </is>
      </c>
      <c r="E51" s="12" t="inlineStr">
        <is>
          <t>Spaces（アルバム）</t>
        </is>
      </c>
      <c r="F51" s="12" t="inlineStr">
        <is>
          <t>Nils Frahm</t>
        </is>
      </c>
      <c r="G51" s="12" t="inlineStr">
        <is>
          <t>ライブ録音のアルバム『Spaces』（2013 年・Erased Tapes）の 2 曲目「Says」</t>
        </is>
      </c>
      <c r="H51" s="12" t="inlineStr">
        <is>
          <t>2023 年秋（26 歳）ファンミが深夜番組の最後にかけたのを聴いた。12 月から父の入院で隔週に乗った夜行バスで、一番多く聴いた。</t>
        </is>
      </c>
      <c r="I51" s="12" t="inlineStr">
        <is>
          <t>1 つのアルペジオが 8 分かけて少しずつ開いていき、何も起きないようで景色が変わっていくこと。</t>
        </is>
      </c>
      <c r="J51" s="12" t="inlineStr">
        <is>
          <t>42 分の切れ目のないミックスの組み方と、新しい音を 16 小節ごとに 1 つだけ足し引きする規則。夜行バス 1 本ぶんを途切れずにつなぐ長い作品の構想の土台。</t>
        </is>
      </c>
    </row>
    <row r="52">
      <c r="A52" s="37" t="inlineStr">
        <is>
          <t>nao_easterly</t>
        </is>
      </c>
      <c r="B52" s="27" t="inlineStr">
        <is>
          <t>nao</t>
        </is>
      </c>
      <c r="C52" s="13" t="inlineStr">
        <is>
          <t>採用</t>
        </is>
      </c>
      <c r="D52" s="12" t="inlineStr">
        <is>
          <t>音楽</t>
        </is>
      </c>
      <c r="E52" s="12" t="inlineStr">
        <is>
          <t>Give Up</t>
        </is>
      </c>
      <c r="F52" s="12" t="inlineStr">
        <is>
          <t>The Postal Service</t>
        </is>
      </c>
      <c r="G52" s="12" t="inlineStr">
        <is>
          <t>アルバム『Give Up』（2003・シアトルの Sub Pop から発売）の 2 曲目「Such Great Heights」</t>
        </is>
      </c>
      <c r="H52" s="12" t="inlineStr">
        <is>
          <t>17 歳ごろ（2019 年）・フッドリバー。中学生だった弟 Ken が見つけて、家の車で繰り返し流していた</t>
        </is>
      </c>
      <c r="I52" s="12" t="inlineStr">
        <is>
          <t>細かく刻む打ち込みの上で、特別ではない日常の言葉をまっすぐ歌っていいと知った。同じ太平洋岸北西部から出た音楽だということも、自分の暮らしと地続きに感じた。</t>
        </is>
      </c>
      <c r="J52" s="12" t="inlineStr">
        <is>
          <t>ハイハットと小さなシンセの粒を細かく重ねるリズムの作り方と、身の回りの物の名前をそのまま歌う歌詞に出ている</t>
        </is>
      </c>
    </row>
    <row r="53">
      <c r="A53" s="37" t="inlineStr">
        <is>
          <t>nao_easterly</t>
        </is>
      </c>
      <c r="B53" s="27" t="inlineStr">
        <is>
          <t>nao</t>
        </is>
      </c>
      <c r="C53" s="13" t="inlineStr">
        <is>
          <t>採用</t>
        </is>
      </c>
      <c r="D53" s="12" t="inlineStr">
        <is>
          <t>音楽</t>
        </is>
      </c>
      <c r="E53" s="12" t="inlineStr">
        <is>
          <t>Autobahn</t>
        </is>
      </c>
      <c r="F53" s="12" t="inlineStr">
        <is>
          <t>Kraftwerk</t>
        </is>
      </c>
      <c r="G53" s="12" t="inlineStr">
        <is>
          <t>アルバム『Autobahn』（1974）の A 面全部を使った表題曲（約 22 分）</t>
        </is>
      </c>
      <c r="H53" s="12" t="inlineStr">
        <is>
          <t>22 歳の冬（2024 年 12 月）・ポートランド。テンポを 84 号線を走りながら決めていると話したら、ルートの最後のカフェの店主（元レコード店員）が開店前にレコードをかけてくれた</t>
        </is>
      </c>
      <c r="I53" s="12" t="inlineStr">
        <is>
          <t>高速道路を走ることそのものが音楽になりうると知った。変わらない拍の上で景色だけが少しずつ変わっていく長さを、退屈ではなく心地よさとして受け取った。</t>
        </is>
      </c>
      <c r="J53" s="12" t="inlineStr">
        <is>
          <t>キックを 4 分寄りに置いて揺らさない一定の拍と、展開を急がず音色の出し入れで景色を変えるアレンジに出ている。DNA の motorik pulse もここから来ている</t>
        </is>
      </c>
    </row>
    <row r="54">
      <c r="A54" s="37" t="inlineStr">
        <is>
          <t>nao_easterly</t>
        </is>
      </c>
      <c r="B54" s="27" t="inlineStr">
        <is>
          <t>nao</t>
        </is>
      </c>
      <c r="C54" s="13" t="inlineStr">
        <is>
          <t>採用</t>
        </is>
      </c>
      <c r="D54" s="12" t="inlineStr">
        <is>
          <t>音楽</t>
        </is>
      </c>
      <c r="E54" s="12" t="inlineStr">
        <is>
          <t>Jubilee</t>
        </is>
      </c>
      <c r="F54" s="12" t="inlineStr">
        <is>
          <t>Japanese Breakfast</t>
        </is>
      </c>
      <c r="G54" s="12" t="inlineStr">
        <is>
          <t>アルバム『Jubilee』（2021）の 2 曲目「Be Sweet」</t>
        </is>
      </c>
      <c r="H54" s="12" t="inlineStr">
        <is>
          <t>19 歳（2021 年の夏）・フッドリバーのパン屋。朝 4 時半からの仕込みの時間に、店のスピーカーで繰り返し流していた</t>
        </is>
      </c>
      <c r="I54" s="12" t="inlineStr">
        <is>
          <t>同じオレゴンで育ちアジア系の母を持つ人が、暗さではなく明るさで自分を歌っているのを聴き、2 つのルーツを持つことを明るい音で鳴らしていいと思えた。</t>
        </is>
      </c>
      <c r="J54" s="12" t="inlineStr">
        <is>
          <t>弾むシンセベースと 80 年代風の明るいシンセの組み合わせと、口ずさみやすいサビの言葉の置き方に出ている</t>
        </is>
      </c>
    </row>
    <row r="55">
      <c r="A55" s="38" t="inlineStr">
        <is>
          <t>soft_cantilever</t>
        </is>
      </c>
      <c r="B55" s="27" t="inlineStr">
        <is>
          <t>kino</t>
        </is>
      </c>
      <c r="C55" s="13" t="inlineStr">
        <is>
          <t>採用</t>
        </is>
      </c>
      <c r="D55" s="12" t="inlineStr">
        <is>
          <t>音楽</t>
        </is>
      </c>
      <c r="E55" s="12" t="inlineStr">
        <is>
          <t>How to Make Gravy</t>
        </is>
      </c>
      <c r="F55" s="12" t="inlineStr">
        <is>
          <t>Paul Kelly</t>
        </is>
      </c>
      <c r="G55" s="12" t="inlineStr">
        <is>
          <t>EP『How to Make Gravy』（1996 年 11 月）の表題曲</t>
        </is>
      </c>
      <c r="H55" s="12" t="inlineStr">
        <is>
          <t>2015 年 12 月・17 歳。祖母が同居を始めた年のクリスマス前に、母の車のラジオで流れた。</t>
        </is>
      </c>
      <c r="I55" s="12" t="inlineStr">
        <is>
          <t>クリスマスに家族の昼食へ帰れない男が弟へ書く手紙の歌。人の名前と料理と台所の細部だけで、会えない家族を描く書き方。</t>
        </is>
      </c>
      <c r="J55" s="12" t="inlineStr">
        <is>
          <t>父を説明せず、持ち物（グローブボックス・ロザリオ・給油のレシート）と食べ物で人を描く歌詞。語りかける相手を you に固定して説明しない。</t>
        </is>
      </c>
    </row>
    <row r="56">
      <c r="A56" s="38" t="inlineStr">
        <is>
          <t>soft_cantilever</t>
        </is>
      </c>
      <c r="B56" s="27" t="inlineStr">
        <is>
          <t>kino</t>
        </is>
      </c>
      <c r="C56" s="13" t="inlineStr">
        <is>
          <t>採用</t>
        </is>
      </c>
      <c r="D56" s="12" t="inlineStr">
        <is>
          <t>音楽</t>
        </is>
      </c>
      <c r="E56" s="12" t="inlineStr">
        <is>
          <t>Salad Days</t>
        </is>
      </c>
      <c r="F56" s="12" t="inlineStr">
        <is>
          <t>Mac DeMarco</t>
        </is>
      </c>
      <c r="G56" s="12" t="inlineStr">
        <is>
          <t>アルバム『Salad Days』（2014）の表題曲</t>
        </is>
      </c>
      <c r="H56" s="12" t="inlineStr">
        <is>
          <t>2014 年の半ば・16 歳。いとこが部屋のスピーカーで流し、揺れるギターの音の出し方を 2 人で調べた。父の工場の閉鎖が発表された年。</t>
        </is>
      </c>
      <c r="I56" s="12" t="inlineStr">
        <is>
          <t>薄く揺れるクリーンのギターと、疲れや不安を力まずに軽く歌う声。</t>
        </is>
      </c>
      <c r="J56" s="12" t="inlineStr">
        <is>
          <t>コーラスを薄く常にかけたクリーンのカッティング。重い話ほど明るいテンポで力まずに歌う、キノの話すような歌い方。</t>
        </is>
      </c>
    </row>
    <row r="57">
      <c r="A57" s="38" t="inlineStr">
        <is>
          <t>soft_cantilever</t>
        </is>
      </c>
      <c r="B57" s="27" t="inlineStr">
        <is>
          <t>bia</t>
        </is>
      </c>
      <c r="C57" s="13" t="inlineStr">
        <is>
          <t>採用</t>
        </is>
      </c>
      <c r="D57" s="12" t="inlineStr">
        <is>
          <t>音楽</t>
        </is>
      </c>
      <c r="E57" s="12" t="inlineStr">
        <is>
          <t>Jazz Carnival</t>
        </is>
      </c>
      <c r="F57" s="12" t="inlineStr">
        <is>
          <t>Azymuth</t>
        </is>
      </c>
      <c r="G57" s="12" t="inlineStr">
        <is>
          <t>アルバム『Light as a Feather』（1979）収録</t>
        </is>
      </c>
      <c r="H57" s="12" t="inlineStr">
        <is>
          <t>2011 年・14 歳。ベースを教えてくれたサンパウロの楽器店の店主が、店のレコードで『ベースが歌っているのを聴け』とかけた。</t>
        </is>
      </c>
      <c r="I57" s="12" t="inlineStr">
        <is>
          <t>ブラジルの 3 人組の、ベースが主旋律のように歌いながらグルーヴを支える演奏。少人数でも大きく鳴る編成。</t>
        </is>
      </c>
      <c r="J57" s="12" t="inlineStr">
        <is>
          <t>ギターと同じリフをユニゾンで弾く 2 回目のサビのあとの間奏と、歌の隙間でベースが短く歌うフィル。3 人だけで鳴らす編成への自信。</t>
        </is>
      </c>
    </row>
    <row r="58">
      <c r="A58" s="38" t="inlineStr">
        <is>
          <t>soft_cantilever</t>
        </is>
      </c>
      <c r="B58" s="27" t="inlineStr">
        <is>
          <t>bia</t>
        </is>
      </c>
      <c r="C58" s="13" t="inlineStr">
        <is>
          <t>採用</t>
        </is>
      </c>
      <c r="D58" s="12" t="inlineStr">
        <is>
          <t>音楽</t>
        </is>
      </c>
      <c r="E58" s="12" t="inlineStr">
        <is>
          <t>都会</t>
        </is>
      </c>
      <c r="F58" s="12" t="inlineStr">
        <is>
          <t>大貫妙子（Taeko Ohnuki）</t>
        </is>
      </c>
      <c r="G58" s="12" t="inlineStr">
        <is>
          <t>アルバム『SUNSHOWER』（1977）の 4 曲目</t>
        </is>
      </c>
      <c r="H58" s="12" t="inlineStr">
        <is>
          <t>2017 年・20 歳。Plastic Love のあと、70〜80 年代の日本の都会の音楽を掘っていて見つけた。</t>
        </is>
      </c>
      <c r="I58" s="12" t="inlineStr">
        <is>
          <t>都会の暮らしを少し離れて見つめる歌詞と、細かく動くリズムの上で落ち着いて歌う女声。</t>
        </is>
      </c>
      <c r="J58" s="12" t="inlineStr">
        <is>
          <t>ハモりで返す 1 行を、熱くならず少し距離を取った声で歌うこと。シンコペーションの多いベースに言葉数の少ないコーラスを乗せるアレンジ。</t>
        </is>
      </c>
    </row>
    <row r="59">
      <c r="A59" s="38" t="inlineStr">
        <is>
          <t>soft_cantilever</t>
        </is>
      </c>
      <c r="B59" s="27" t="inlineStr">
        <is>
          <t>tav</t>
        </is>
      </c>
      <c r="C59" s="13" t="inlineStr">
        <is>
          <t>採用</t>
        </is>
      </c>
      <c r="D59" s="12" t="inlineStr">
        <is>
          <t>音楽</t>
        </is>
      </c>
      <c r="E59" s="12" t="inlineStr">
        <is>
          <t>Use Me</t>
        </is>
      </c>
      <c r="F59" s="12" t="inlineStr">
        <is>
          <t>Bill Withers</t>
        </is>
      </c>
      <c r="G59" s="12" t="inlineStr">
        <is>
          <t>アルバム『Still Bill』（1972）収録</t>
        </is>
      </c>
      <c r="H59" s="12" t="inlineStr">
        <is>
          <t>2013 年・14 歳。Frankston の中等学校のステージバンドの先生が『少ない音で揺らせ』とグルーヴの宿題に出した。</t>
        </is>
      </c>
      <c r="I59" s="12" t="inlineStr">
        <is>
          <t>同じ短いパターンを繰り返し、強弱だけで揺らすドラム。歌の隙間を埋めない伴奏。</t>
        </is>
      </c>
      <c r="J59" s="12" t="inlineStr">
        <is>
          <t>A メロで同じ 2 小節を変えずに繰り返し、ハイハットの開け閉めと強弱だけで展開を作る叩き方。フィルを 1 拍以内に収める癖。</t>
        </is>
      </c>
    </row>
    <row r="60">
      <c r="A60" s="39" t="inlineStr">
        <is>
          <t>tidewool</t>
        </is>
      </c>
      <c r="B60" s="27" t="inlineStr">
        <is>
          <t>isla</t>
        </is>
      </c>
      <c r="C60" s="13" t="inlineStr">
        <is>
          <t>採用</t>
        </is>
      </c>
      <c r="D60" s="12" t="inlineStr">
        <is>
          <t>音楽</t>
        </is>
      </c>
      <c r="E60" s="12" t="inlineStr">
        <is>
          <t>Here's the Tender Coming</t>
        </is>
      </c>
      <c r="F60" s="12" t="inlineStr">
        <is>
          <t>The Unthanks</t>
        </is>
      </c>
      <c r="G60" s="12" t="inlineStr">
        <is>
          <t>アルバム『Here's the Tender Coming』（2009）。伝承歌の表題曲</t>
        </is>
      </c>
      <c r="H60" s="12" t="inlineStr">
        <is>
          <t>2018 年 5 月（23 歳）・ペンリンの毛糸店で働き始めた週に、店主が店の CD プレーヤーで流していた。</t>
        </is>
      </c>
      <c r="I60" s="12" t="inlineStr">
        <is>
          <t>北イングランドの姉妹が、漁や港の暮らしの伝承歌を少ない伴奏で歌うアルバム。姉妹の声の溶け方と、自分の訛りを隠さずに歌っていいこと。海の仕事を、陸で待つ女性の目線で歌う距離。</t>
        </is>
      </c>
      <c r="J60" s="12" t="inlineStr">
        <is>
          <t>ニュージーランドの母音を直さずに歌うこと。1 枚に 1 曲は無伴奏の歌い出しを入れること。漁師やギグの漕ぎ手の暮らしを、少し離れて見つめる歌詞の目線。</t>
        </is>
      </c>
    </row>
    <row r="61">
      <c r="A61" s="39" t="inlineStr">
        <is>
          <t>tidewool</t>
        </is>
      </c>
      <c r="B61" s="27" t="inlineStr">
        <is>
          <t>gethin</t>
        </is>
      </c>
      <c r="C61" s="13" t="inlineStr">
        <is>
          <t>採用</t>
        </is>
      </c>
      <c r="D61" s="12" t="inlineStr">
        <is>
          <t>音楽</t>
        </is>
      </c>
      <c r="E61" s="12" t="inlineStr">
        <is>
          <t>Penguin Eggs</t>
        </is>
      </c>
      <c r="F61" s="12" t="inlineStr">
        <is>
          <t>Nic Jones</t>
        </is>
      </c>
      <c r="G61" s="12" t="inlineStr">
        <is>
          <t>アルバム『Penguin Eggs』（1980）。1 曲目『Canadee-I-O』と 3 曲目『The Humpback Whale』</t>
        </is>
      </c>
      <c r="H61" s="12" t="inlineStr">
        <is>
          <t>2016 年の冬（26 歳）・木曜のパブのセッションに通い始めた頃、仕切り役の 70 代のアコーディオン弾きに『港の歌をやるならこれを聴け』とレコードを渡された。</t>
        </is>
      </c>
      <c r="I61" s="12" t="inlineStr">
        <is>
          <t>指弾きの親指が打楽器のように弦を叩く推進力と、変則チューニングで開放弦を鳴らし続ける和音。海と鯨と漁の伝承歌を、感情を足さずに淡々と語る歌い方。</t>
        </is>
      </c>
      <c r="J61" s="12" t="inlineStr">
        <is>
          <t>右手の親指で低音弦を短く弾いて打楽器の代わりにする奏法。D を基にした変則チューニングで開放弦を鳴らし続ける伴奏。ゲシンのパートの、出来事だけを語る伝承歌のような歌詞。</t>
        </is>
      </c>
    </row>
  </sheetData>
  <autoFilter ref="A1:J61"/>
  <conditionalFormatting sqref="C2:C560">
    <cfRule type="cellIs" priority="1" operator="equal" dxfId="0">
      <formula>"提案"</formula>
    </cfRule>
    <cfRule type="cellIs" priority="2" operator="equal" dxfId="1">
      <formula>"採用"</formula>
    </cfRule>
    <cfRule type="cellIs" priority="3" operator="equal" dxfId="2">
      <formula>"保留"</formula>
    </cfRule>
    <cfRule type="cellIs" priority="4" operator="equal" dxfId="3">
      <formula>"却下"</formula>
    </cfRule>
    <cfRule type="cellIs" priority="5" operator="equal" dxfId="4">
      <formula>"反映済み"</formula>
    </cfRule>
  </conditionalFormatting>
  <conditionalFormatting sqref="A2:J560">
    <cfRule type="expression" priority="6" dxfId="5">
      <formula>$C2="却下"</formula>
    </cfRule>
  </conditionalFormatting>
  <conditionalFormatting sqref="B2:J560">
    <cfRule type="expression" priority="7" dxfId="6">
      <formula>AND($A2&lt;&gt;"",MOD(ROW(),2)=0)</formula>
    </cfRule>
  </conditionalFormatting>
  <conditionalFormatting sqref="A2:A560">
    <cfRule type="cellIs" priority="8" operator="equal" dxfId="7">
      <formula>"declan_fay"</formula>
    </cfRule>
    <cfRule type="cellIs" priority="9" operator="equal" dxfId="8">
      <formula>"hollowplan"</formula>
    </cfRule>
    <cfRule type="cellIs" priority="10" operator="equal" dxfId="9">
      <formula>"nao_easterly"</formula>
    </cfRule>
    <cfRule type="cellIs" priority="11" operator="equal" dxfId="10">
      <formula>"soft_cantilever"</formula>
    </cfRule>
    <cfRule type="cellIs" priority="12" operator="equal" dxfId="11">
      <formula>"tidewool"</formula>
    </cfRule>
  </conditionalFormatting>
  <dataValidations count="2">
    <dataValidation sqref="D2:D560" showDropDown="0" showInputMessage="0" showErrorMessage="0" allowBlank="1" errorTitle="選べる値" error="一覧から選んでください（空欄も可）" type="list">
      <formula1>"音楽,本,絵,映画,言葉"</formula1>
    </dataValidation>
    <dataValidation sqref="C2:C560" showDropDown="0" showInputMessage="0" showErrorMessage="0" allowBlank="1" errorTitle="選べる値" error="一覧から選んでください（空欄も可）" type="list">
      <formula1>"提案,採用,保留,却下,反映済み"</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6F9A7E"/>
    <outlinePr summaryBelow="1" summaryRight="1"/>
    <pageSetUpPr/>
  </sheetPr>
  <dimension ref="A1:I4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9" customWidth="1" min="2" max="2"/>
    <col width="12" customWidth="1" min="3" max="3"/>
    <col width="22" customWidth="1" min="4" max="4"/>
    <col width="40" customWidth="1" min="5" max="5"/>
    <col width="40" customWidth="1" min="6" max="6"/>
    <col width="18" customWidth="1" min="7" max="7"/>
    <col width="40" customWidth="1" min="8" max="8"/>
    <col width="30" customWidth="1" min="9" max="9"/>
  </cols>
  <sheetData>
    <row r="1" ht="32" customHeight="1">
      <c r="A1" s="40" t="inlineStr">
        <is>
          <t>アーティストID</t>
        </is>
      </c>
      <c r="B1" s="40" t="inlineStr">
        <is>
          <t>状態</t>
        </is>
      </c>
      <c r="C1" s="40" t="inlineStr">
        <is>
          <t>種ID</t>
        </is>
      </c>
      <c r="D1" s="40" t="inlineStr">
        <is>
          <t>時期</t>
        </is>
      </c>
      <c r="E1" s="40" t="inlineStr">
        <is>
          <t>気持ち</t>
        </is>
      </c>
      <c r="F1" s="40" t="inlineStr">
        <is>
          <t>情景</t>
        </is>
      </c>
      <c r="G1" s="40" t="inlineStr">
        <is>
          <t>視点</t>
        </is>
      </c>
      <c r="H1" s="40" t="inlineStr">
        <is>
          <t>歌のアイデア</t>
        </is>
      </c>
      <c r="I1" s="40" t="inlineStr">
        <is>
          <t>言葉の候補</t>
        </is>
      </c>
    </row>
    <row r="2">
      <c r="A2" s="35" t="inlineStr">
        <is>
          <t>declan_fay</t>
        </is>
      </c>
      <c r="B2" s="13" t="inlineStr">
        <is>
          <t>採用</t>
        </is>
      </c>
      <c r="C2" s="27" t="inlineStr">
        <is>
          <t>dm_s01</t>
        </is>
      </c>
      <c r="D2" s="12" t="inlineStr">
        <is>
          <t>1999〜2002（幼少期）と今</t>
        </is>
      </c>
      <c r="E2" s="12" t="inlineStr">
        <is>
          <t>夜に起きていることへの肯定と少しの孤独</t>
        </is>
      </c>
      <c r="F2" s="12" t="inlineStr">
        <is>
          <t>午前 3 時、局の駐車場の街灯の下で、オレンジの光に羽虫が舞うのを見ながら車に乗り込み、ガーディナーへ上がる。</t>
        </is>
      </c>
      <c r="G2" s="12" t="inlineStr">
        <is>
          <t>大人の自分から、母のピアノの横で歌っていた子どもの自分へ</t>
        </is>
      </c>
      <c r="H2" s="12" t="inlineStr">
        <is>
          <t>父がビデオの向こうでつぶやいた『妖精のようだ』と、夜のリスナーがくれた『Fay』が同じ名前だった。夜に起きて誰かを和ませることを、弱さではなく自分の役目として歌う。</t>
        </is>
      </c>
      <c r="I2" s="12" t="inlineStr">
        <is>
          <t>little fay、sodium orange、window seat、stay up with me、the lamp at the bottom of the hill</t>
        </is>
      </c>
    </row>
    <row r="3">
      <c r="A3" s="35" t="inlineStr">
        <is>
          <t>declan_fay</t>
        </is>
      </c>
      <c r="B3" s="13" t="inlineStr">
        <is>
          <t>採用</t>
        </is>
      </c>
      <c r="C3" s="27" t="inlineStr">
        <is>
          <t>dm_s02</t>
        </is>
      </c>
      <c r="D3" s="12" t="inlineStr">
        <is>
          <t>2021 年 4 月</t>
        </is>
      </c>
      <c r="E3" s="12" t="inlineStr">
        <is>
          <t>喪失のあとの静かなつながり</t>
        </is>
      </c>
      <c r="F3" s="12" t="inlineStr">
        <is>
          <t>午前 3 時半、401 号線を西へ。デジタル化した父のテープを車内で流す。</t>
        </is>
      </c>
      <c r="G3" s="12" t="inlineStr">
        <is>
          <t>一人称。運転席から父へ</t>
        </is>
      </c>
      <c r="H3" s="12" t="inlineStr">
        <is>
          <t>テープの頭に残っていた父の声。19 年しまわれていた A 面を B 面に裏返すように、自分の人生の後半を続けていく歌。</t>
        </is>
      </c>
      <c r="I3" s="12" t="inlineStr">
        <is>
          <t>side B、turn it over、hold on now lad、2:40 a.m.、tape hiss</t>
        </is>
      </c>
    </row>
    <row r="4">
      <c r="A4" s="35" t="inlineStr">
        <is>
          <t>declan_fay</t>
        </is>
      </c>
      <c r="B4" s="13" t="inlineStr">
        <is>
          <t>採用</t>
        </is>
      </c>
      <c r="C4" s="27" t="inlineStr">
        <is>
          <t>dm_s03</t>
        </is>
      </c>
      <c r="D4" s="12" t="inlineStr">
        <is>
          <t>2016〜2018</t>
        </is>
      </c>
      <c r="E4" s="12" t="inlineStr">
        <is>
          <t>遠距離のやさしさと言わなかったこと</t>
        </is>
      </c>
      <c r="F4" s="12" t="inlineStr">
        <is>
          <t>配送のバンで空のガーディナーを走る午前 3 時。電話の向こうでは朝 8 時の校門のベルが鳴る。</t>
        </is>
      </c>
      <c r="G4" s="12" t="inlineStr">
        <is>
          <t>一人称。過去の恋人へ（責めない）</t>
        </is>
      </c>
      <c r="H4" s="12" t="inlineStr">
        <is>
          <t>自分の夜が彼女の朝だった 2 年間。同じ電話の中で、時刻だけが違っていた。</t>
        </is>
      </c>
      <c r="I4" s="12" t="inlineStr">
        <is>
          <t>five hours ahead、your bell my exit、good morning goodnight、half past three、the same call</t>
        </is>
      </c>
    </row>
    <row r="5">
      <c r="A5" s="35" t="inlineStr">
        <is>
          <t>declan_fay</t>
        </is>
      </c>
      <c r="B5" s="13" t="inlineStr">
        <is>
          <t>採用</t>
        </is>
      </c>
      <c r="C5" s="27" t="inlineStr">
        <is>
          <t>dm_s04</t>
        </is>
      </c>
      <c r="D5" s="12" t="inlineStr">
        <is>
          <t>2023〜2026（今）</t>
        </is>
      </c>
      <c r="E5" s="12" t="inlineStr">
        <is>
          <t>小さな時間を分け合う満ち足り</t>
        </is>
      </c>
      <c r="F5" s="12" t="inlineStr">
        <is>
          <t>金曜の 4 時 10 分、湖を左に見ながらレイクショア大通りを遠回り。助手席にイネス。</t>
        </is>
      </c>
      <c r="G5" s="12" t="inlineStr">
        <is>
          <t>一人称。助手席のイネスへ</t>
        </is>
      </c>
      <c r="H5" s="12" t="inlineStr">
        <is>
          <t>一緒にいられるのはパン屋までの 20 分だけ。でもそれで足りる、という歌。</t>
        </is>
      </c>
      <c r="I5" s="12" t="inlineStr">
        <is>
          <t>the long way、ten past four、flour on your sleeve、first oven、lake on the left</t>
        </is>
      </c>
    </row>
    <row r="6">
      <c r="A6" s="35" t="inlineStr">
        <is>
          <t>declan_fay</t>
        </is>
      </c>
      <c r="B6" s="13" t="inlineStr">
        <is>
          <t>採用</t>
        </is>
      </c>
      <c r="C6" s="27" t="inlineStr">
        <is>
          <t>dm_s05</t>
        </is>
      </c>
      <c r="D6" s="12" t="inlineStr">
        <is>
          <t>2021 年 2 月</t>
        </is>
      </c>
      <c r="E6" s="12" t="inlineStr">
        <is>
          <t>間に合わなかった重さと泣かない悲しみ</t>
        </is>
      </c>
      <c r="F6" s="12" t="inlineStr">
        <is>
          <t>朝 5 時の局の駐車場。エンジンをかけたまま、スマートフォンで故郷の葬儀の配信を見る。</t>
        </is>
      </c>
      <c r="G6" s="12" t="inlineStr">
        <is>
          <t>一人称。自分自身へ</t>
        </is>
      </c>
      <c r="H6" s="12" t="inlineStr">
        <is>
          <t>放送の無音（dead air）を防ぐのが仕事の自分が、何もできずに画面を見ていた朝。それでもどこかの誰かの番組は続いている。</t>
        </is>
      </c>
      <c r="I6" s="12" t="inlineStr">
        <is>
          <t>dead air、buffering、10 a.m. in Cork、engine running、on-air light</t>
        </is>
      </c>
    </row>
    <row r="7">
      <c r="A7" s="35" t="inlineStr">
        <is>
          <t>declan_fay</t>
        </is>
      </c>
      <c r="B7" s="13" t="inlineStr">
        <is>
          <t>採用</t>
        </is>
      </c>
      <c r="C7" s="27" t="inlineStr">
        <is>
          <t>dm_s06</t>
        </is>
      </c>
      <c r="D7" s="12" t="inlineStr">
        <is>
          <t>2020〜今</t>
        </is>
      </c>
      <c r="E7" s="12" t="inlineStr">
        <is>
          <t>眠れない夜の落ち着かなさと走ることで整う感覚</t>
        </is>
      </c>
      <c r="F7" s="12" t="inlineStr">
        <is>
          <t>シフト明けの 3 時過ぎ、ガーディナー→ドン・バレー・パークウェイ→401→427 と大きな四角を一周する。</t>
        </is>
      </c>
      <c r="G7" s="12" t="inlineStr">
        <is>
          <t>一人称の独り言</t>
        </is>
      </c>
      <c r="H7" s="12" t="inlineStr">
        <is>
          <t>父のサウス・リング・ロードと、トロントの遠回りのループが重なる。どこにも着かない運転が、一日を終わらせる儀式になる。</t>
        </is>
      </c>
      <c r="I7" s="12" t="inlineStr">
        <is>
          <t>one more lap、the loop、exit signs、no one waiting up、round again</t>
        </is>
      </c>
    </row>
    <row r="8">
      <c r="A8" s="35" t="inlineStr">
        <is>
          <t>declan_fay</t>
        </is>
      </c>
      <c r="B8" s="13" t="inlineStr">
        <is>
          <t>採用</t>
        </is>
      </c>
      <c r="C8" s="27" t="inlineStr">
        <is>
          <t>dm_s07</t>
        </is>
      </c>
      <c r="D8" s="12" t="inlineStr">
        <is>
          <t>2026 年 9 月</t>
        </is>
      </c>
      <c r="E8" s="12" t="inlineStr">
        <is>
          <t>二つの故郷を決めなくていい安堵</t>
        </is>
      </c>
      <c r="F8" s="12" t="inlineStr">
        <is>
          <t>9 月 14 日の夜、湖岸の駐車場。助手席にイネスが焼いた『10』の箱が置いてある。</t>
        </is>
      </c>
      <c r="G8" s="12" t="inlineStr">
        <is>
          <t>一人称。23 歳の自分へ</t>
        </is>
      </c>
      <c r="H8" s="12" t="inlineStr">
        <is>
          <t>大人の自分はトロントの方が長くなった。back home がどちらを指すのか分からなくなった歌。</t>
        </is>
      </c>
      <c r="I8" s="12" t="inlineStr">
        <is>
          <t>ten Septembers、back home (which one)、two kitchens、arrivals hall、the accent slipping</t>
        </is>
      </c>
    </row>
    <row r="9">
      <c r="A9" s="35" t="inlineStr">
        <is>
          <t>declan_fay</t>
        </is>
      </c>
      <c r="B9" s="13" t="inlineStr">
        <is>
          <t>採用</t>
        </is>
      </c>
      <c r="C9" s="27" t="inlineStr">
        <is>
          <t>dm_s08</t>
        </is>
      </c>
      <c r="D9" s="12" t="inlineStr">
        <is>
          <t>2024〜今</t>
        </is>
      </c>
      <c r="E9" s="12" t="inlineStr">
        <is>
          <t>時差越しの家族の気配</t>
        </is>
      </c>
      <c r="F9" s="12" t="inlineStr">
        <is>
          <t>午前 2 時の休憩、送出卓の横で、母から届いたコークの朝 7 時の空の写真を見る。</t>
        </is>
      </c>
      <c r="G9" s="12" t="inlineStr">
        <is>
          <t>一人称。母へ</t>
        </is>
      </c>
      <c r="H9" s="12" t="inlineStr">
        <is>
          <t>おしゃべりな母が毎朝送ってくる灰色の空と長い文。返事は grand の一言だけ。父のぶんまで話す母と、父に似て口数の少ない息子の会話。</t>
        </is>
      </c>
      <c r="I9" s="12" t="inlineStr">
        <is>
          <t>your sky at seven、grey over the harbour、read at two、grand、same clouds later</t>
        </is>
      </c>
    </row>
    <row r="10">
      <c r="A10" s="35" t="inlineStr">
        <is>
          <t>declan_fay</t>
        </is>
      </c>
      <c r="B10" s="13" t="inlineStr">
        <is>
          <t>採用</t>
        </is>
      </c>
      <c r="C10" s="27" t="inlineStr">
        <is>
          <t>dm_s09</t>
        </is>
      </c>
      <c r="D10" s="12" t="inlineStr">
        <is>
          <t>2025〜今</t>
        </is>
      </c>
      <c r="E10" s="12" t="inlineStr">
        <is>
          <t>消えていくものへの静かな愛着</t>
        </is>
      </c>
      <c r="F10" s="12" t="inlineStr">
        <is>
          <t>街灯の多くが LED の白に替わったトロントで、まだオレンジの古い灯りが残る高架下を探して走る。</t>
        </is>
      </c>
      <c r="G10" s="12" t="inlineStr">
        <is>
          <t>一人称の観察</t>
        </is>
      </c>
      <c r="H10" s="12" t="inlineStr">
        <is>
          <t>子どもの頃の窓の外の色が街から消えていく。残しておきたいのは灯りそのものではなく、その下で過ごした時間。</t>
        </is>
      </c>
      <c r="I10" s="12" t="inlineStr">
        <is>
          <t>the last orange、LED white、underpass、before they change it、amber</t>
        </is>
      </c>
    </row>
    <row r="11">
      <c r="A11" s="36" t="inlineStr">
        <is>
          <t>hollowplan</t>
        </is>
      </c>
      <c r="B11" s="13" t="inlineStr">
        <is>
          <t>採用</t>
        </is>
      </c>
      <c r="C11" s="27" t="inlineStr">
        <is>
          <t>hp_s01</t>
        </is>
      </c>
      <c r="D11" s="12" t="inlineStr">
        <is>
          <t>2007 年夏（10 歳）クマシの祖母の家</t>
        </is>
      </c>
      <c r="E11" s="12" t="inlineStr">
        <is>
          <t>真ん中が空いている家にいる安心。誰も追い出されない感じ。</t>
        </is>
      </c>
      <c r="F11" s="12" t="inlineStr">
        <is>
          <t>深夜の高速で前後に車がいなくなった区間。中央分離帯の向こうも空っぽで、道の真ん中だけが広い。</t>
        </is>
      </c>
      <c r="G11" s="12" t="inlineStr">
        <is>
          <t>10 歳の自分を、29 歳の自分が少し離れたところから見ている。</t>
        </is>
      </c>
      <c r="H11" s="12" t="inlineStr">
        <is>
          <t>祖母の『真ん中はみんなのもの』を、平面図の空白として音にする。夕立が中庭に降り込む音を、パッドとシェイカーで描く。</t>
        </is>
      </c>
      <c r="I11" s="12" t="inlineStr">
        <is>
          <t>the middle、courtyard rain、mat on the veranda、for everyone</t>
        </is>
      </c>
    </row>
    <row r="12">
      <c r="A12" s="36" t="inlineStr">
        <is>
          <t>hollowplan</t>
        </is>
      </c>
      <c r="B12" s="13" t="inlineStr">
        <is>
          <t>採用</t>
        </is>
      </c>
      <c r="C12" s="27" t="inlineStr">
        <is>
          <t>hp_s02</t>
        </is>
      </c>
      <c r="D12" s="12" t="inlineStr">
        <is>
          <t>2003〜2007 年（6〜10 歳）リーズの背中合わせの長屋</t>
        </is>
      </c>
      <c r="E12" s="12" t="inlineStr">
        <is>
          <t>壁に囲まれた窮屈さと、ヘッドホンの中にだけ部屋ができる安堵。</t>
        </is>
      </c>
      <c r="F12" s="12" t="inlineStr">
        <is>
          <t>長いトンネルの中。両側の壁が近く、出口の光がまだ見えない。</t>
        </is>
      </c>
      <c r="G12" s="12" t="inlineStr">
        <is>
          <t>子どもの頃の自分の部屋の中から。</t>
        </is>
      </c>
      <c r="H12" s="12" t="inlineStr">
        <is>
          <t>3 方向を壁に囲まれた家で、方眼メモに真ん中の空いた家を描いた夜。キックを壁の向こうのくぐもった音から始め、少しずつ開いていく。</t>
        </is>
      </c>
      <c r="I12" s="12" t="inlineStr">
        <is>
          <t>thin wall、back-to-back、headphones on、room inside the room</t>
        </is>
      </c>
    </row>
    <row r="13">
      <c r="A13" s="36" t="inlineStr">
        <is>
          <t>hollowplan</t>
        </is>
      </c>
      <c r="B13" s="13" t="inlineStr">
        <is>
          <t>採用</t>
        </is>
      </c>
      <c r="C13" s="27" t="inlineStr">
        <is>
          <t>hp_s03</t>
        </is>
      </c>
      <c r="D13" s="12" t="inlineStr">
        <is>
          <t>2019 年 12 月（22 歳）祖母の葬儀の夜明け</t>
        </is>
      </c>
      <c r="E13" s="12" t="inlineStr">
        <is>
          <t>泣けないかわりに、数えることで落ち着いていく。</t>
        </is>
      </c>
      <c r="F13" s="12" t="inlineStr">
        <is>
          <t>葬儀のあとの夜明け前、空港へ向かう車の後部座席。窓の外の街灯を数えている。</t>
        </is>
      </c>
      <c r="G13" s="12" t="inlineStr">
        <is>
          <t>一人称。人が引いた中庭を歩く自分。</t>
        </is>
      </c>
      <c r="H13" s="12" t="inlineStr">
        <is>
          <t>中庭を歩幅で測った 9 歩と 7 歩。数字を息のように淡々と繰り返し、祈りの代わりにする。</t>
        </is>
      </c>
      <c r="I13" s="12" t="inlineStr">
        <is>
          <t>nine by seven、heel to toe、red and black、leave the middle</t>
        </is>
      </c>
    </row>
    <row r="14">
      <c r="A14" s="36" t="inlineStr">
        <is>
          <t>hollowplan</t>
        </is>
      </c>
      <c r="B14" s="13" t="inlineStr">
        <is>
          <t>採用</t>
        </is>
      </c>
      <c r="C14" s="27" t="inlineStr">
        <is>
          <t>hp_s04</t>
        </is>
      </c>
      <c r="D14" s="12" t="inlineStr">
        <is>
          <t>2023 年 12 月〜2024 年 2 月（26 歳）父の入院と夜行バス</t>
        </is>
      </c>
      <c r="E14" s="12" t="inlineStr">
        <is>
          <t>不安で眠れないが、何もしなくていい 4 時間半に少し救われる。</t>
        </is>
      </c>
      <c r="F14" s="12" t="inlineStr">
        <is>
          <t>ロンドン・ヴィクトリア 23 時半発の夜行バスで M1 を北へ。3 時のサービスエリアの蛍光灯と、冷めていく紙コップの紅茶。</t>
        </is>
      </c>
      <c r="G14" s="12" t="inlineStr">
        <is>
          <t>バスの最前列の左の席から。</t>
        </is>
      </c>
      <c r="H14" s="12" t="inlineStr">
        <is>
          <t>父のもとへ向かう何も起きない区間を、悪くない時間として肯定する。エンジンのうなりをベースの下に敷く。</t>
        </is>
      </c>
      <c r="I14" s="12" t="inlineStr">
        <is>
          <t>northbound、services at three、still here、seat 3A、the road sound</t>
        </is>
      </c>
    </row>
    <row r="15">
      <c r="A15" s="36" t="inlineStr">
        <is>
          <t>hollowplan</t>
        </is>
      </c>
      <c r="B15" s="13" t="inlineStr">
        <is>
          <t>採用</t>
        </is>
      </c>
      <c r="C15" s="27" t="inlineStr">
        <is>
          <t>hp_s05</t>
        </is>
      </c>
      <c r="D15" s="12" t="inlineStr">
        <is>
          <t>2019 年 7 月（22 歳）Part II に進まないと伝えた電話</t>
        </is>
      </c>
      <c r="E15" s="12" t="inlineStr">
        <is>
          <t>怒りではなく、決めたあとの静けさ。</t>
        </is>
      </c>
      <c r="F15" s="12" t="inlineStr">
        <is>
          <t>高速の分岐で、ナビの案内とは違う車線へゆっくり移る瞬間。</t>
        </is>
      </c>
      <c r="G15" s="12" t="inlineStr">
        <is>
          <t>一人称。電話を切ったあとの自分。</t>
        </is>
      </c>
      <c r="H15" s="12" t="inlineStr">
        <is>
          <t>父の長い沈黙と母の『人形の家』。言い返さず、手で答えると決めた夜を、4 小節のコードが半音だけずれ続ける形で描く。</t>
        </is>
      </c>
      <c r="I15" s="12" t="inlineStr">
        <is>
          <t>slip road、doll's house、my own hands、quiet after</t>
        </is>
      </c>
    </row>
    <row r="16">
      <c r="A16" s="36" t="inlineStr">
        <is>
          <t>hollowplan</t>
        </is>
      </c>
      <c r="B16" s="13" t="inlineStr">
        <is>
          <t>採用</t>
        </is>
      </c>
      <c r="C16" s="27" t="inlineStr">
        <is>
          <t>hp_s06</t>
        </is>
      </c>
      <c r="D16" s="12" t="inlineStr">
        <is>
          <t>2022 年 3 月（25 歳）模型のひびと徹夜の作り直し</t>
        </is>
      </c>
      <c r="E16" s="12" t="inlineStr">
        <is>
          <t>失敗の恥ずかしさと、間に合わせたあとの小さな誇り。</t>
        </is>
      </c>
      <c r="F16" s="12" t="inlineStr">
        <is>
          <t>夜明けの工房から帰る、始発前の運河沿いの道。</t>
        </is>
      </c>
      <c r="G16" s="12" t="inlineStr">
        <is>
          <t>一人称。徹夜明けの自分と、隣の先輩。</t>
        </is>
      </c>
      <c r="H16" s="12" t="inlineStr">
        <is>
          <t>発表前夜に割れた中庭を朝までに作り直した話。完璧ではないけれど、間に合った。紙やすりの音をハイハット代わりに。</t>
        </is>
      </c>
      <c r="I16" s="12" t="inlineStr">
        <is>
          <t>hairline crack、start again、resin sets、first light</t>
        </is>
      </c>
    </row>
    <row r="17">
      <c r="A17" s="36" t="inlineStr">
        <is>
          <t>hollowplan</t>
        </is>
      </c>
      <c r="B17" s="13" t="inlineStr">
        <is>
          <t>採用</t>
        </is>
      </c>
      <c r="C17" s="27" t="inlineStr">
        <is>
          <t>hp_s07</t>
        </is>
      </c>
      <c r="D17" s="12" t="inlineStr">
        <is>
          <t>2024〜2025 年（27〜28 歳）カラムとの別れ</t>
        </is>
      </c>
      <c r="E17" s="12" t="inlineStr">
        <is>
          <t>誰も責めない別れ。寂しさより余白のほうが大きい。</t>
        </is>
      </c>
      <c r="F17" s="12" t="inlineStr">
        <is>
          <t>深夜、反対車線のヘッドライトが一定の間隔ですれ違っていく。</t>
        </is>
      </c>
      <c r="G17" s="12" t="inlineStr">
        <is>
          <t>二人を少し上から見る視点。</t>
        </is>
      </c>
      <c r="H17" s="12" t="inlineStr">
        <is>
          <t>働く時間帯が逆の 2 人。同じ部屋にいても重ならなかった夜と朝を、2 つの声の切れ端が交互に鳴って一度も重ならない形で描く。</t>
        </is>
      </c>
      <c r="I17" s="12" t="inlineStr">
        <is>
          <t>opposite lanes、your morning my night、keys on the hook、no one's fault</t>
        </is>
      </c>
    </row>
    <row r="18">
      <c r="A18" s="36" t="inlineStr">
        <is>
          <t>hollowplan</t>
        </is>
      </c>
      <c r="B18" s="13" t="inlineStr">
        <is>
          <t>採用</t>
        </is>
      </c>
      <c r="C18" s="27" t="inlineStr">
        <is>
          <t>hp_s08</t>
        </is>
      </c>
      <c r="D18" s="12" t="inlineStr">
        <is>
          <t>2026 年 8 月（29 歳）クマシの家の改修の知らせ</t>
        </is>
      </c>
      <c r="E18" s="12" t="inlineStr">
        <is>
          <t>空いていた真ん中が変わる寂しさと、記録しておきたい気持ち。</t>
        </is>
      </c>
      <c r="F18" s="12" t="inlineStr">
        <is>
          <t>夜の環状線から高速へ合流する長いランプ。スマホに届いた中庭の写真。</t>
        </is>
      </c>
      <c r="G18" s="12" t="inlineStr">
        <is>
          <t>一人称。ロンドンの屋根裏から遠くの家を思う自分。</t>
        </is>
      </c>
      <c r="H18" s="12" t="inlineStr">
        <is>
          <t>中庭に屋根がかかる前に、音の中に中庭を残す。中盤の『中庭』の 8 小節を、いつもより長い 16 小節にする特別な 1 曲。</t>
        </is>
      </c>
      <c r="I18" s="12" t="inlineStr">
        <is>
          <t>roof over the middle、before it changes、keep the plan、photos at midnight</t>
        </is>
      </c>
    </row>
    <row r="19">
      <c r="A19" s="36" t="inlineStr">
        <is>
          <t>hollowplan</t>
        </is>
      </c>
      <c r="B19" s="13" t="inlineStr">
        <is>
          <t>採用</t>
        </is>
      </c>
      <c r="C19" s="27" t="inlineStr">
        <is>
          <t>hp_s09</t>
        </is>
      </c>
      <c r="D19" s="12" t="inlineStr">
        <is>
          <t>2026 年 9 月（29 歳）母の退職</t>
        </is>
      </c>
      <c r="E19" s="12" t="inlineStr">
        <is>
          <t>母の夜勤と自分の夜の制作が、同じ時間帯にあったと気づく照れくささ。</t>
        </is>
      </c>
      <c r="F19" s="12" t="inlineStr">
        <is>
          <t>日曜 23 時のリーズ発の夜行バス。母が昔、夜勤明けに歩いた早朝の道を思い出す。</t>
        </is>
      </c>
      <c r="G19" s="12" t="inlineStr">
        <is>
          <t>娘の視点から母へ。</t>
        </is>
      </c>
      <c r="H19" s="12" t="inlineStr">
        <is>
          <t>34 年の夜勤と、自分の夜。同じ時間を別々に生きてきた 2 人の曲。病棟の申し送りのように淡々とした声の切れ端。</t>
        </is>
      </c>
      <c r="I19" s="12" t="inlineStr">
        <is>
          <t>night shift、handover、tea at six、same hours</t>
        </is>
      </c>
    </row>
    <row r="20">
      <c r="A20" s="37" t="inlineStr">
        <is>
          <t>nao_easterly</t>
        </is>
      </c>
      <c r="B20" s="13" t="inlineStr">
        <is>
          <t>採用</t>
        </is>
      </c>
      <c r="C20" s="27" t="inlineStr">
        <is>
          <t>nao_s01</t>
        </is>
      </c>
      <c r="D20" s="12" t="inlineStr">
        <is>
          <t>2006〜2007 年の冬（4〜5 歳・オデル）と今</t>
        </is>
      </c>
      <c r="E20" s="12" t="inlineStr">
        <is>
          <t>誇らしさと静けさ</t>
        </is>
      </c>
      <c r="F20" s="12" t="inlineStr">
        <is>
          <t>夜明け前の果樹園の農道。前に排雪板を付けた古いピックアップの助手席で、アンバーの回転灯が雪を照らし、東の丘の上が群青から橙に変わる。今は 84 号線で対向車線の除雪車とすれ違うたびにそれを思い出す。</t>
        </is>
      </c>
      <c r="G20" s="12" t="inlineStr">
        <is>
          <t>大人になった私が、助手席の 4 歳の自分と運転席の父を見ている</t>
        </is>
      </c>
      <c r="H20" s="12" t="inlineStr">
        <is>
          <t>朝の高速で除雪車とすれ違った瞬間に、父の助手席の記憶へ戻る歌。夜明けは起きていた人へのごほうびだという子どものころの確信を、今も信じている。</t>
        </is>
      </c>
      <c r="I20" s="12" t="inlineStr">
        <is>
          <t>passenger side、amber light、thermos、plow blade、five a.m.</t>
        </is>
      </c>
    </row>
    <row r="21">
      <c r="A21" s="37" t="inlineStr">
        <is>
          <t>nao_easterly</t>
        </is>
      </c>
      <c r="B21" s="13" t="inlineStr">
        <is>
          <t>採用</t>
        </is>
      </c>
      <c r="C21" s="27" t="inlineStr">
        <is>
          <t>nao_s02</t>
        </is>
      </c>
      <c r="D21" s="12" t="inlineStr">
        <is>
          <t>2012〜2014 年（10〜11 歳・函館）と今</t>
        </is>
      </c>
      <c r="E21" s="12" t="inlineStr">
        <is>
          <t>さみしさと、つながっている安心</t>
        </is>
      </c>
      <c r="F21" s="12" t="inlineStr">
        <is>
          <t>朝 6 時、配送バンの積み込みを終えてエンジンをかける。スピーカーにした電話の向こうでは、函館の祖母が夜 10 時の湯のみを洗っている。</t>
        </is>
      </c>
      <c r="G21" s="12" t="inlineStr">
        <is>
          <t>私（現在）が、夜の側にいる祖母に話しかける</t>
        </is>
      </c>
      <c r="H21" s="12" t="inlineStr">
        <is>
          <t>自分の朝が家族の夜であることの歌。子どものころは父の朝を夜に聞き、今は祖母の夜を朝に聞く。時差を数えることが家族の距離の測り方になっている。</t>
        </is>
      </c>
      <c r="I21" s="12" t="inlineStr">
        <is>
          <t>sixteen hours、your ten p.m.、teacup、oyasumi、both ends of the map</t>
        </is>
      </c>
    </row>
    <row r="22">
      <c r="A22" s="37" t="inlineStr">
        <is>
          <t>nao_easterly</t>
        </is>
      </c>
      <c r="B22" s="13" t="inlineStr">
        <is>
          <t>採用</t>
        </is>
      </c>
      <c r="C22" s="27" t="inlineStr">
        <is>
          <t>nao_s03</t>
        </is>
      </c>
      <c r="D22" s="12" t="inlineStr">
        <is>
          <t>2023 年〜今（ポートランドの配送）</t>
        </is>
      </c>
      <c r="E22" s="12" t="inlineStr">
        <is>
          <t>淡々とした誇り</t>
        </is>
      </c>
      <c r="F22" s="12" t="inlineStr">
        <is>
          <t>午前 3 時半、焼きたてのパンの匂いがこもる配送バン。20 軒目のカフェの裏口にパンを置き、84 号線の東行きの入口に乗った瞬間に日が昇る。</t>
        </is>
      </c>
      <c r="G22" s="12" t="inlineStr">
        <is>
          <t>私（一人称・現在形）</t>
        </is>
      </c>
      <c r="H22" s="12" t="inlineStr">
        <is>
          <t>街のどのカフェより早くドアを開ける仕事の歌。誰にも会わずに 20 のドアを回り、最後に太陽にだけ会う。</t>
        </is>
      </c>
      <c r="I22" s="12" t="inlineStr">
        <is>
          <t>twenty doors、back-door key、warm bread、route sheet、eastbound on-ramp</t>
        </is>
      </c>
    </row>
    <row r="23">
      <c r="A23" s="37" t="inlineStr">
        <is>
          <t>nao_easterly</t>
        </is>
      </c>
      <c r="B23" s="13" t="inlineStr">
        <is>
          <t>採用</t>
        </is>
      </c>
      <c r="C23" s="27" t="inlineStr">
        <is>
          <t>nao_s04</t>
        </is>
      </c>
      <c r="D23" s="12" t="inlineStr">
        <is>
          <t>2023 年 9 月〜2024 年 10 月</t>
        </is>
      </c>
      <c r="E23" s="12" t="inlineStr">
        <is>
          <t>責めない別れと少しの可笑しさ</t>
        </is>
      </c>
      <c r="F23" s="12" t="inlineStr">
        <is>
          <t>隔週の日曜、朝 7 時のガソリンスタンド。夜勤明けの彼と配送明けの私が、それぞれのコーヒーを持って車の外で話す。彼のまぶたが下りてきたら、それが帰る合図。</t>
        </is>
      </c>
      <c r="G23" s="12" t="inlineStr">
        <is>
          <t>私から、夜の側にいた元恋人へ</t>
        </is>
      </c>
      <c r="H23" s="12" t="inlineStr">
        <is>
          <t>どちらも悪くない、ただ朝と夜が重ならなかった恋の歌。隔週の日曜の朝、ガソリンスタンドの給油機のあいだだけが 2 人の居場所だった。</t>
        </is>
      </c>
      <c r="I23" s="12" t="inlineStr">
        <is>
          <t>shift change、pump number four、two coffees、twenty minutes、you sleep I drive</t>
        </is>
      </c>
    </row>
    <row r="24">
      <c r="A24" s="37" t="inlineStr">
        <is>
          <t>nao_easterly</t>
        </is>
      </c>
      <c r="B24" s="13" t="inlineStr">
        <is>
          <t>採用</t>
        </is>
      </c>
      <c r="C24" s="27" t="inlineStr">
        <is>
          <t>nao_s05</t>
        </is>
      </c>
      <c r="D24" s="12" t="inlineStr">
        <is>
          <t>2022 年 4 月〜2023 年 2 月（函館）</t>
        </is>
      </c>
      <c r="E24" s="12" t="inlineStr">
        <is>
          <t>静かな喪失と感謝</t>
        </is>
      </c>
      <c r="F24" s="12" t="inlineStr">
        <is>
          <t>夜明け前、祖母と歩いて港へ。沖からまだ灯りをつけたまま戻ってくるイカ釣り船が、空が明るくなるにつれて見えなくなる。今は暗いうちの高速で、前の車のテールランプが同じように薄れていく。</t>
        </is>
      </c>
      <c r="G24" s="12" t="inlineStr">
        <is>
          <t>私が、亡くなった祖父に話しかける</t>
        </is>
      </c>
      <c r="H24" s="12" t="inlineStr">
        <is>
          <t>灯りをつけたまま帰ってくる船と、明るくなると見えなくなる灯り。祖父に聴かせられなかった歌を、夜明けのたびに届け直す。</t>
        </is>
      </c>
      <c r="I24" s="12" t="inlineStr">
        <is>
          <t>lights still on、harbor wall、squid boats、grandpa's hours、the sky took them in</t>
        </is>
      </c>
    </row>
    <row r="25">
      <c r="A25" s="37" t="inlineStr">
        <is>
          <t>nao_easterly</t>
        </is>
      </c>
      <c r="B25" s="13" t="inlineStr">
        <is>
          <t>採用</t>
        </is>
      </c>
      <c r="C25" s="27" t="inlineStr">
        <is>
          <t>nao_s06</t>
        </is>
      </c>
      <c r="D25" s="12" t="inlineStr">
        <is>
          <t>2024 年 3 月（22 歳）〜今</t>
        </is>
      </c>
      <c r="E25" s="12" t="inlineStr">
        <is>
          <t>決めきれないことを受け入れる</t>
        </is>
      </c>
      <c r="F25" s="12" t="inlineStr">
        <is>
          <t>引き出しの中の書き終えた届けと 2 冊のパスポート。春分の前の週、ポートランドの部屋の東の窓から朝日が床に届く。</t>
        </is>
      </c>
      <c r="G25" s="12" t="inlineStr">
        <is>
          <t>私（一人称・現在形）</t>
        </is>
      </c>
      <c r="H25" s="12" t="inlineStr">
        <is>
          <t>どちらか一方を選ぶより、両方の朝を持っていたいという歌。言葉の違う 2 つの朝のあいさつのあいだに、自分の声がある。</t>
        </is>
      </c>
      <c r="I25" s="12" t="inlineStr">
        <is>
          <t>two passports、top drawer、both mornings、say it twice、one horizon</t>
        </is>
      </c>
    </row>
    <row r="26">
      <c r="A26" s="37" t="inlineStr">
        <is>
          <t>nao_easterly</t>
        </is>
      </c>
      <c r="B26" s="13" t="inlineStr">
        <is>
          <t>採用</t>
        </is>
      </c>
      <c r="C26" s="27" t="inlineStr">
        <is>
          <t>nao_s07</t>
        </is>
      </c>
      <c r="D26" s="12" t="inlineStr">
        <is>
          <t>2026 年 9 月〜2027 年春（父の最後の冬）</t>
        </is>
      </c>
      <c r="E26" s="12" t="inlineStr">
        <is>
          <t>感謝と少しの焦り</t>
        </is>
      </c>
      <c r="F26" s="12" t="inlineStr">
        <is>
          <t>夜明け前の 84 号線を東へ。フッドリバーで降りて、峠へ向かう父の除雪車のアンバーの灯りを、自分の車で少し後ろから追う。</t>
        </is>
      </c>
      <c r="G26" s="12" t="inlineStr">
        <is>
          <t>私から父へ</t>
        </is>
      </c>
      <c r="H26" s="12" t="inlineStr">
        <is>
          <t>父の最後の除雪シーズンの歌。子どものころ助手席で見た夜明けを、今度は自分の運転席から父の背中ごしに見る。引退したら父を助手席に乗せるという約束。</t>
        </is>
      </c>
      <c r="I26" s="12" t="inlineStr">
        <is>
          <t>last plow season、copy that、chains required、the pass is open、your turn to ride</t>
        </is>
      </c>
    </row>
    <row r="27">
      <c r="A27" s="37" t="inlineStr">
        <is>
          <t>nao_easterly</t>
        </is>
      </c>
      <c r="B27" s="13" t="inlineStr">
        <is>
          <t>採用</t>
        </is>
      </c>
      <c r="C27" s="27" t="inlineStr">
        <is>
          <t>nao_s08</t>
        </is>
      </c>
      <c r="D27" s="12" t="inlineStr">
        <is>
          <t>毎年 3 月 20 日と 9 月 22 日ごろ（春分と秋分）</t>
        </is>
      </c>
      <c r="E27" s="12" t="inlineStr">
        <is>
          <t>まっすぐな高揚</t>
        </is>
      </c>
      <c r="F27" s="12" t="inlineStr">
        <is>
          <t>春分の朝、84 号線の東行き。太陽が真東から昇り、峡谷の道のちょうど正面に来る。サンバイザーを上げたまま走る。</t>
        </is>
      </c>
      <c r="G27" s="12" t="inlineStr">
        <is>
          <t>私（一人称・現在形）</t>
        </is>
      </c>
      <c r="H27" s="12" t="inlineStr">
        <is>
          <t>1 年に 2 回だけ、太陽が道の真正面から昇る朝の歌。誕生日の朝、自分の名前の意味と道の向きがそろう。</t>
        </is>
      </c>
      <c r="I27" s="12" t="inlineStr">
        <is>
          <t>due east、equinox、visor up、center line、mile marker</t>
        </is>
      </c>
    </row>
    <row r="28">
      <c r="A28" s="38" t="inlineStr">
        <is>
          <t>soft_cantilever</t>
        </is>
      </c>
      <c r="B28" s="13" t="inlineStr">
        <is>
          <t>採用</t>
        </is>
      </c>
      <c r="C28" s="27" t="inlineStr">
        <is>
          <t>sc_s01</t>
        </is>
      </c>
      <c r="D28" s="12" t="inlineStr">
        <is>
          <t>2017 年〜2026 年</t>
        </is>
      </c>
      <c r="E28" s="12" t="inlineStr">
        <is>
          <t>父への敬意と、父の仕事場を外から見る少しの寂しさ。</t>
        </is>
      </c>
      <c r="F28" s="12" t="inlineStr">
        <is>
          <t>昼 1 時の Hume Freeway。キノの小さな車が、2 車線向こうの父の長いトラックと並ぶ。ライトを 2 回点滅させると、父も返す。</t>
        </is>
      </c>
      <c r="G28" s="12" t="inlineStr">
        <is>
          <t>息子（キノ）から父へ</t>
        </is>
      </c>
      <c r="H28" s="12" t="inlineStr">
        <is>
          <t>工場でドアを付けていた父が、今は道そのものを部屋にして働いている。言葉はなく、ライトの合図だけで話す親子の歌。</t>
        </is>
      </c>
      <c r="I28" s="12" t="inlineStr">
        <is>
          <t>flash my lights、B-double、glovebox、anak、two lanes over</t>
        </is>
      </c>
    </row>
    <row r="29">
      <c r="A29" s="38" t="inlineStr">
        <is>
          <t>soft_cantilever</t>
        </is>
      </c>
      <c r="B29" s="13" t="inlineStr">
        <is>
          <t>採用</t>
        </is>
      </c>
      <c r="C29" s="27" t="inlineStr">
        <is>
          <t>sc_s02</t>
        </is>
      </c>
      <c r="D29" s="12" t="inlineStr">
        <is>
          <t>2017 年 3 月〜2018 年 11 月</t>
        </is>
      </c>
      <c r="E29" s="12" t="inlineStr">
        <is>
          <t>1 人では立たないと分かった安心。</t>
        </is>
      </c>
      <c r="F29" s="12" t="inlineStr">
        <is>
          <t>製図室の夜。バルサ材の片持ち梁がたわんで、それでも折れない。数年後、同じ 3 人でバンに乗ってサービスエリアのキャノピーの下で休む。</t>
        </is>
      </c>
      <c r="G29" s="12" t="inlineStr">
        <is>
          <t>3 人（we）</t>
        </is>
      </c>
      <c r="H29" s="12" t="inlineStr">
        <is>
          <t>片側だけを固定して張り出す構造に、3 人の関係を重ねる。硬く突っ張らず、少したわんで持ちこたえる。</t>
        </is>
      </c>
      <c r="I29" s="12" t="inlineStr">
        <is>
          <t>load path、fixed end、deflection、balsa、hold the weight</t>
        </is>
      </c>
    </row>
    <row r="30">
      <c r="A30" s="38" t="inlineStr">
        <is>
          <t>soft_cantilever</t>
        </is>
      </c>
      <c r="B30" s="13" t="inlineStr">
        <is>
          <t>採用</t>
        </is>
      </c>
      <c r="C30" s="27" t="inlineStr">
        <is>
          <t>sc_s03</t>
        </is>
      </c>
      <c r="D30" s="12" t="inlineStr">
        <is>
          <t>2003 年〜2026 年</t>
        </is>
      </c>
      <c r="E30" s="12" t="inlineStr">
        <is>
          <t>どこにいても途中から入る人の、少しの誇り。</t>
        </is>
      </c>
      <c r="F30" s="12" t="inlineStr">
        <is>
          <t>昼のハイウェイ、ビアが助手席で方眼ノートに次の曲の断面図を描いている。窓の外のユーカリの並木を、浜松の団地の階段の水色と重ねる。</t>
        </is>
      </c>
      <c r="G30" s="12" t="inlineStr">
        <is>
          <t>ビアからキノへ（ハモりの側から）</t>
        </is>
      </c>
      <c r="H30" s="12" t="inlineStr">
        <is>
          <t>いつも『3 度上』で歌う人の歌。主旋律ではないけれど、離れすぎず、重なりすぎず、隣で支える位置。移り住んできた人生と重ねる。</t>
        </is>
      </c>
      <c r="I30" s="12" t="inlineStr">
        <is>
          <t>a third above、stairwell blue、temporary address、grid paper、calma</t>
        </is>
      </c>
    </row>
    <row r="31">
      <c r="A31" s="38" t="inlineStr">
        <is>
          <t>soft_cantilever</t>
        </is>
      </c>
      <c r="B31" s="13" t="inlineStr">
        <is>
          <t>採用</t>
        </is>
      </c>
      <c r="C31" s="27" t="inlineStr">
        <is>
          <t>sc_s04</t>
        </is>
      </c>
      <c r="D31" s="12" t="inlineStr">
        <is>
          <t>2024 年 6 月</t>
        </is>
      </c>
      <c r="E31" s="12" t="inlineStr">
        <is>
          <t>どちらも間違っていない別れの、静かな空白。</t>
        </is>
      </c>
      <c r="F31" s="12" t="inlineStr">
        <is>
          <t>昼の空港線。Sophie を空港に送ったあと、1 人で戻る高架。ラジオを切ると、継ぎ目のゴトンという音だけが規則正しく鳴る。</t>
        </is>
      </c>
      <c r="G31" s="12" t="inlineStr">
        <is>
          <t>キノ（I）</t>
        </is>
      </c>
      <c r="H31" s="12" t="inlineStr">
        <is>
          <t>責めも後悔もしない別れの歌。本棚の半分が空いた部屋と、継ぎ目の音を数える帰り道。</t>
        </is>
      </c>
      <c r="I31" s="12" t="inlineStr">
        <is>
          <t>half the shelf、expansion joint、departures、good enough、Tullamarine</t>
        </is>
      </c>
    </row>
    <row r="32">
      <c r="A32" s="38" t="inlineStr">
        <is>
          <t>soft_cantilever</t>
        </is>
      </c>
      <c r="B32" s="13" t="inlineStr">
        <is>
          <t>採用</t>
        </is>
      </c>
      <c r="C32" s="27" t="inlineStr">
        <is>
          <t>sc_s05</t>
        </is>
      </c>
      <c r="D32" s="12" t="inlineStr">
        <is>
          <t>2026 年 4 月</t>
        </is>
      </c>
      <c r="E32" s="12" t="inlineStr">
        <is>
          <t>回り道をして、本物を建てた手の重み。</t>
        </is>
      </c>
      <c r="F32" s="12" t="inlineStr">
        <is>
          <t>湾岸の住宅地の裏庭。完成したばかりのデッキの先で子どもが跳ねる。午後、タヴは工具をバンに積んで帰りの高速に乗る。</t>
        </is>
      </c>
      <c r="G32" s="12" t="inlineStr">
        <is>
          <t>タヴのことをキノが歌う（he／you）</t>
        </is>
      </c>
      <c r="H32" s="12" t="inlineStr">
        <is>
          <t>図面を描く側から、手で建てる側へ移った友人の歌。2.4 m の張り出しが図面どおりにたわんだ日。</t>
        </is>
      </c>
      <c r="I32" s="12" t="inlineStr">
        <is>
          <t>two point four、plumb、sawdust、measure twice、load-bearing</t>
        </is>
      </c>
    </row>
    <row r="33">
      <c r="A33" s="38" t="inlineStr">
        <is>
          <t>soft_cantilever</t>
        </is>
      </c>
      <c r="B33" s="13" t="inlineStr">
        <is>
          <t>採用</t>
        </is>
      </c>
      <c r="C33" s="27" t="inlineStr">
        <is>
          <t>sc_s06</t>
        </is>
      </c>
      <c r="D33" s="12" t="inlineStr">
        <is>
          <t>2020 年 4 月〜2021 年 10 月</t>
        </is>
      </c>
      <c r="E33" s="12" t="inlineStr">
        <is>
          <t>閉じ込められた 2 年分の、窓を開けた瞬間の解放。</t>
        </is>
      </c>
      <c r="F33" s="12" t="inlineStr">
        <is>
          <t>ロックダウン解除の翌日の昼。3 人で初めてバンに乗り、環状線から北の高速へ出る。窓を全部開ける。</t>
        </is>
      </c>
      <c r="G33" s="12" t="inlineStr">
        <is>
          <t>3 人（we）</t>
        </is>
      </c>
      <c r="H33" s="12" t="inlineStr">
        <is>
          <t>半径 5 km の中で、別々の部屋から曲を組み立てた 2 年。解除の日、道が断面図のように一日を切り開いて見せてくれる。</t>
        </is>
      </c>
      <c r="I33" s="12" t="inlineStr">
        <is>
          <t>five K、tracing paper、section cut、windows down、Western Ring</t>
        </is>
      </c>
    </row>
    <row r="34">
      <c r="A34" s="38" t="inlineStr">
        <is>
          <t>soft_cantilever</t>
        </is>
      </c>
      <c r="B34" s="13" t="inlineStr">
        <is>
          <t>採用</t>
        </is>
      </c>
      <c r="C34" s="27" t="inlineStr">
        <is>
          <t>sc_s07</t>
        </is>
      </c>
      <c r="D34" s="12" t="inlineStr">
        <is>
          <t>2023 年 12 月</t>
        </is>
      </c>
      <c r="E34" s="12" t="inlineStr">
        <is>
          <t>知らない人と同じパイを食べる、小さな連帯感。</t>
        </is>
      </c>
      <c r="F34" s="12" t="inlineStr">
        <is>
          <t>サービスエリアの駐車場。バンの横で演奏していると、トラックの運転手が足を止め、年配の夫婦がキャンピングカーの窓から手を振る。</t>
        </is>
      </c>
      <c r="G34" s="12" t="inlineStr">
        <is>
          <t>3 人（we）</t>
        </is>
      </c>
      <c r="H34" s="12" t="inlineStr">
        <is>
          <t>目的地より途中の 20 分の休憩のほうが覚えている、という歌。次のサービスエリアまで 40 分の幸福。</t>
        </is>
      </c>
      <c r="I34" s="12" t="inlineStr">
        <is>
          <t>next servo forty K、pie warmer、caravan、car park chalk、twenty-minute stop</t>
        </is>
      </c>
    </row>
    <row r="35">
      <c r="A35" s="38" t="inlineStr">
        <is>
          <t>soft_cantilever</t>
        </is>
      </c>
      <c r="B35" s="13" t="inlineStr">
        <is>
          <t>採用</t>
        </is>
      </c>
      <c r="C35" s="27" t="inlineStr">
        <is>
          <t>sc_s08</t>
        </is>
      </c>
      <c r="D35" s="12" t="inlineStr">
        <is>
          <t>2026 年 1 月</t>
        </is>
      </c>
      <c r="E35" s="12" t="inlineStr">
        <is>
          <t>やっと『とりあえず』ではない場所に家族を招けた安堵。</t>
        </is>
      </c>
      <c r="F35" s="12" t="inlineStr">
        <is>
          <t>昼の海沿いの道。ビアの両親が後部座席に座り、父が窓の外の海を見て黙って頷き続ける。</t>
        </is>
      </c>
      <c r="G35" s="12" t="inlineStr">
        <is>
          <t>ビア（I）から父へ</t>
        </is>
      </c>
      <c r="H35" s="12" t="inlineStr">
        <is>
          <t>浜松の工場で働いた父を、初めて自分の住む国の道に乗せた日。父の沈黙を、言葉より大きな返事として受け取る。</t>
        </is>
      </c>
      <c r="I35" s="12" t="inlineStr">
        <is>
          <t>back seat、visitors、nodding、lookout、first address</t>
        </is>
      </c>
    </row>
    <row r="36">
      <c r="A36" s="39" t="inlineStr">
        <is>
          <t>tidewool</t>
        </is>
      </c>
      <c r="B36" s="13" t="inlineStr">
        <is>
          <t>採用</t>
        </is>
      </c>
      <c r="C36" s="27" t="inlineStr">
        <is>
          <t>tw_s01</t>
        </is>
      </c>
      <c r="D36" s="12" t="inlineStr">
        <is>
          <t>2018 年 10 月</t>
        </is>
      </c>
      <c r="E36" s="12" t="inlineStr">
        <is>
          <t>知らない人の和音が自分の歌の下に入ってきた驚きと、不思議な安心。</t>
        </is>
      </c>
      <c r="F36" s="12" t="inlineStr">
        <is>
          <t>木曜の夜のパブの隅。濡れたコートの匂い、膝の上の編みかけの袖。帰りはゲシンの古いバンで、雨の川沿いの道を送ってもらう。</t>
        </is>
      </c>
      <c r="G36" s="12" t="inlineStr">
        <is>
          <t>アイラ（I）。相手を you と呼ぶ。</t>
        </is>
      </c>
      <c r="H36" s="12" t="inlineStr">
        <is>
          <t>名前より先に声を知った夜。自分の歌に、知らない誰かが下のハモりを足してくれたことを、出来事だけで描く。</t>
        </is>
      </c>
      <c r="I36" s="12" t="inlineStr">
        <is>
          <t>the corner seat、a dropped stitch、a chord from nowhere、wet coat on the hook、a lift along the river</t>
        </is>
      </c>
    </row>
    <row r="37">
      <c r="A37" s="39" t="inlineStr">
        <is>
          <t>tidewool</t>
        </is>
      </c>
      <c r="B37" s="13" t="inlineStr">
        <is>
          <t>採用</t>
        </is>
      </c>
      <c r="C37" s="27" t="inlineStr">
        <is>
          <t>tw_s02</t>
        </is>
      </c>
      <c r="D37" s="12" t="inlineStr">
        <is>
          <t>2020〜2021 年</t>
        </is>
      </c>
      <c r="E37" s="12" t="inlineStr">
        <is>
          <t>毎日声は聞けるのに触れられない。それでも 1 つのハモりを一緒に作っている手応え。</t>
        </is>
      </c>
      <c r="F37" s="12" t="inlineStr">
        <is>
          <t>オタゴの霜の朝の毛刈り小屋と、コーンウォールの雨の夜のボートヤード。週末は実家の車で砂利道を走りながら、届いたばかりの録音を聴く。</t>
        </is>
      </c>
      <c r="G37" s="12" t="inlineStr">
        <is>
          <t>アイラとゲシンが 1 行ずつ（I と you）。サビで we に合流。</t>
        </is>
      </c>
      <c r="H37" s="12" t="inlineStr">
        <is>
          <t>12 時間ずれた 2 人。相手の夜が自分の朝に音声ファイルとして届く。彼は下のパートだけ歌い、上を空けておく。</t>
        </is>
      </c>
      <c r="I37" s="12" t="inlineStr">
        <is>
          <t>twelve hours、a file on my phone、frost on the gate、the low part、cold tea</t>
        </is>
      </c>
    </row>
    <row r="38">
      <c r="A38" s="39" t="inlineStr">
        <is>
          <t>tidewool</t>
        </is>
      </c>
      <c r="B38" s="13" t="inlineStr">
        <is>
          <t>採用</t>
        </is>
      </c>
      <c r="C38" s="27" t="inlineStr">
        <is>
          <t>tw_s03</t>
        </is>
      </c>
      <c r="D38" s="12" t="inlineStr">
        <is>
          <t>2010 年 9 月</t>
        </is>
      </c>
      <c r="E38" s="12" t="inlineStr">
        <is>
          <t>遠くにいて何もできないもどかしさ。父も小さくなることがあると知った日。</t>
        </is>
      </c>
      <c r="F38" s="12" t="inlineStr">
        <is>
          <t>寄宿学校の廊下の公衆電話。週末、兄の運転で帰る車の窓から見た、雪解けの泥と空になった囲い。</t>
        </is>
      </c>
      <c r="G38" s="12" t="inlineStr">
        <is>
          <t>15 歳のアイラ（I）。父を Dad と呼ぶ。</t>
        </is>
      </c>
      <c r="H38" s="12" t="inlineStr">
        <is>
          <t>父の声が小さく聞こえた日のことを、責めも慰めもせずに描く。窓の外の景色だけが動いていく。</t>
        </is>
      </c>
      <c r="I38" s="12" t="inlineStr">
        <is>
          <t>late snow、the empty pen、Dad's quiet voice、mud on the gate、a spring that came late</t>
        </is>
      </c>
    </row>
    <row r="39">
      <c r="A39" s="39" t="inlineStr">
        <is>
          <t>tidewool</t>
        </is>
      </c>
      <c r="B39" s="13" t="inlineStr">
        <is>
          <t>採用</t>
        </is>
      </c>
      <c r="C39" s="27" t="inlineStr">
        <is>
          <t>tw_s04</t>
        </is>
      </c>
      <c r="D39" s="12" t="inlineStr">
        <is>
          <t>2016 年</t>
        </is>
      </c>
      <c r="E39" s="12" t="inlineStr">
        <is>
          <t>川を離れられなかった自分への後ろめたさと、相手を責めたくない気持ち。</t>
        </is>
      </c>
      <c r="F39" s="12" t="inlineStr">
        <is>
          <t>恋人をブリストル行きの電車の駅まで送った朝。帰りの雨の県道、助手席に残った彼女の折りたたみ傘。</t>
        </is>
      </c>
      <c r="G39" s="12" t="inlineStr">
        <is>
          <t>ゲシン（I）。相手を she と呼ぶ。</t>
        </is>
      </c>
      <c r="H39" s="12" t="inlineStr">
        <is>
          <t>どちらも悪くない別れ。行かなかった自分を、言い訳せずに歌う。</t>
        </is>
      </c>
      <c r="I39" s="12" t="inlineStr">
        <is>
          <t>the river kept me、her umbrella on the seat、platform two、the tide won't wait、I stayed</t>
        </is>
      </c>
    </row>
    <row r="40">
      <c r="A40" s="39" t="inlineStr">
        <is>
          <t>tidewool</t>
        </is>
      </c>
      <c r="B40" s="13" t="inlineStr">
        <is>
          <t>採用</t>
        </is>
      </c>
      <c r="C40" s="27" t="inlineStr">
        <is>
          <t>tw_s05</t>
        </is>
      </c>
      <c r="D40" s="12" t="inlineStr">
        <is>
          <t>2021 年 11 月</t>
        </is>
      </c>
      <c r="E40" s="12" t="inlineStr">
        <is>
          <t>父の手術への怖さを、口に出さずに運転に預けている。</t>
        </is>
      </c>
      <c r="F40" s="12" t="inlineStr">
        <is>
          <t>ペンリンからソルヴァまで 5 時間半。雲に沈んだ荒野を抜ける幹線道路、閉まった休憩所、セヴァーン川の橋の灯り。ワイパーはずっと遅いまま。</t>
        </is>
      </c>
      <c r="G40" s="12" t="inlineStr">
        <is>
          <t>ゲシン（I）。助手席にいないアイラを you と呼ぶ。</t>
        </is>
      </c>
      <c r="H40" s="12" t="inlineStr">
        <is>
          <t>何も起きない雨の運転そのものが祈りになる。妻が詰めた魔法瓶と、母からの電話だけを置く。</t>
        </is>
      </c>
      <c r="I40" s="12" t="inlineStr">
        <is>
          <t>wipers on slow、a flask of coffee、Mam on the line、the bridge lights、three hundred miles</t>
        </is>
      </c>
    </row>
    <row r="41">
      <c r="A41" s="39" t="inlineStr">
        <is>
          <t>tidewool</t>
        </is>
      </c>
      <c r="B41" s="13" t="inlineStr">
        <is>
          <t>採用</t>
        </is>
      </c>
      <c r="C41" s="27" t="inlineStr">
        <is>
          <t>tw_s06</t>
        </is>
      </c>
      <c r="D41" s="12" t="inlineStr">
        <is>
          <t>2023 年の冬</t>
        </is>
      </c>
      <c r="E41" s="12" t="inlineStr">
        <is>
          <t>手が止まると自分が何者か分からなくなる怖さ。待つことを覚える。</t>
        </is>
      </c>
      <c r="F41" s="12" t="inlineStr">
        <is>
          <t>手首にサポーターを巻いて助手席に座り、ゲシンの運転で市場へ。編めない手で、毛糸の色を台に並べるだけの屋台。</t>
        </is>
      </c>
      <c r="G41" s="12" t="inlineStr">
        <is>
          <t>アイラ（I）。自分の手に話しかける。</t>
        </is>
      </c>
      <c r="H41" s="12" t="inlineStr">
        <is>
          <t>3 か月編めなかった冬。手が休んでいるあいだに見えたもの（色・人・雨）を数えていく。</t>
        </is>
      </c>
      <c r="I41" s="12" t="inlineStr">
        <is>
          <t>idle hands、a wrist in a brace、colours on the table、learning to wait、cast on again</t>
        </is>
      </c>
    </row>
    <row r="42">
      <c r="A42" s="39" t="inlineStr">
        <is>
          <t>tidewool</t>
        </is>
      </c>
      <c r="B42" s="13" t="inlineStr">
        <is>
          <t>採用</t>
        </is>
      </c>
      <c r="C42" s="27" t="inlineStr">
        <is>
          <t>tw_s07</t>
        </is>
      </c>
      <c r="D42" s="12" t="inlineStr">
        <is>
          <t>2026 年 9 月</t>
        </is>
      </c>
      <c r="E42" s="12" t="inlineStr">
        <is>
          <t>継がないと決めたのは自分なのに、胸のどこかが空いた。でも父の声が明るくてほっとした。</t>
        </is>
      </c>
      <c r="F42" s="12" t="inlineStr">
        <is>
          <t>父との電話を切ったあと、ペンリンからファルマスへ向かう雨の県道。ラジオを消して、ワイパーの音だけで走る。</t>
        </is>
      </c>
      <c r="G42" s="12" t="inlineStr">
        <is>
          <t>ゲシン（I）。父に you と語りかける。</t>
        </is>
      </c>
      <c r="H42" s="12" t="inlineStr">
        <is>
          <t>故郷の作業場に、若い誰かの鉋の音が入る。寂しさと安堵が半分ずつの歌。</t>
        </is>
      </c>
      <c r="I42" s="12" t="inlineStr">
        <is>
          <t>half the shed、someone else's plane、the slipway、Dad's pencil、not mine to keep</t>
        </is>
      </c>
    </row>
    <row r="43">
      <c r="A43" s="39" t="inlineStr">
        <is>
          <t>tidewool</t>
        </is>
      </c>
      <c r="B43" s="13" t="inlineStr">
        <is>
          <t>採用</t>
        </is>
      </c>
      <c r="C43" s="27" t="inlineStr">
        <is>
          <t>tw_s08</t>
        </is>
      </c>
      <c r="D43" s="12" t="inlineStr">
        <is>
          <t>2027 年（これから）</t>
        </is>
      </c>
      <c r="E43" s="12" t="inlineStr">
        <is>
          <t>6 年ぶりの帰郷の緊張と、2 人の天気を 1 つにつなげたい気持ち。</t>
        </is>
      </c>
      <c r="F43" s="12" t="inlineStr">
        <is>
          <t>ダニーデンの空港からマニオトトまでの 2 時間の運転。同じ左側通行でも、道の広さと空の高さがまるで違う。</t>
        </is>
      </c>
      <c r="G43" s="12" t="inlineStr">
        <is>
          <t>2 人（we）。</t>
        </is>
      </c>
      <c r="H43" s="12" t="inlineStr">
        <is>
          <t>地球の反対側の雨と乾いた風を 1 曲でつなぐ。羊毛と潮が同じ車に乗っている。</t>
        </is>
      </c>
      <c r="I43" s="12" t="inlineStr">
        <is>
          <t>the long way home、dry wind、woolshed boards、a southern summer、both our weathers</t>
        </is>
      </c>
    </row>
  </sheetData>
  <autoFilter ref="A1:I43"/>
  <conditionalFormatting sqref="B2:B542">
    <cfRule type="cellIs" priority="1" operator="equal" dxfId="0">
      <formula>"提案"</formula>
    </cfRule>
    <cfRule type="cellIs" priority="2" operator="equal" dxfId="1">
      <formula>"採用"</formula>
    </cfRule>
    <cfRule type="cellIs" priority="3" operator="equal" dxfId="2">
      <formula>"保留"</formula>
    </cfRule>
    <cfRule type="cellIs" priority="4" operator="equal" dxfId="3">
      <formula>"却下"</formula>
    </cfRule>
    <cfRule type="cellIs" priority="5" operator="equal" dxfId="4">
      <formula>"反映済み"</formula>
    </cfRule>
  </conditionalFormatting>
  <conditionalFormatting sqref="A2:I542">
    <cfRule type="expression" priority="6" dxfId="5">
      <formula>$B2="却下"</formula>
    </cfRule>
  </conditionalFormatting>
  <conditionalFormatting sqref="B2:I542">
    <cfRule type="expression" priority="7" dxfId="6">
      <formula>AND($A2&lt;&gt;"",MOD(ROW(),2)=0)</formula>
    </cfRule>
  </conditionalFormatting>
  <conditionalFormatting sqref="A2:A542">
    <cfRule type="cellIs" priority="8" operator="equal" dxfId="7">
      <formula>"declan_fay"</formula>
    </cfRule>
    <cfRule type="cellIs" priority="9" operator="equal" dxfId="8">
      <formula>"hollowplan"</formula>
    </cfRule>
    <cfRule type="cellIs" priority="10" operator="equal" dxfId="9">
      <formula>"nao_easterly"</formula>
    </cfRule>
    <cfRule type="cellIs" priority="11" operator="equal" dxfId="10">
      <formula>"soft_cantilever"</formula>
    </cfRule>
    <cfRule type="cellIs" priority="12" operator="equal" dxfId="11">
      <formula>"tidewool"</formula>
    </cfRule>
  </conditionalFormatting>
  <dataValidations count="1">
    <dataValidation sqref="B2:B542" showDropDown="0" showInputMessage="0" showErrorMessage="0" allowBlank="1" errorTitle="選べる値" error="一覧から選んでください（空欄も可）" type="list">
      <formula1>"提案,採用,保留,却下,反映済み"</formula1>
    </dataValidation>
  </dataValidations>
  <pageMargins left="0.75" right="0.75" top="1" bottom="1" header="0.5" footer="0.5"/>
</worksheet>
</file>

<file path=xl/worksheets/sheet9.xml><?xml version="1.0" encoding="utf-8"?>
<worksheet xmlns="http://schemas.openxmlformats.org/spreadsheetml/2006/main">
  <sheetPr>
    <tabColor rgb="006F9A7E"/>
    <outlinePr summaryBelow="1" summaryRight="1"/>
    <pageSetUpPr/>
  </sheetPr>
  <dimension ref="A1:G1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9" customWidth="1" min="2" max="2"/>
    <col width="11" customWidth="1" min="3" max="3"/>
    <col width="26" customWidth="1" min="4" max="4"/>
    <col width="40" customWidth="1" min="5" max="5"/>
    <col width="40" customWidth="1" min="6" max="6"/>
    <col width="40" customWidth="1" min="7" max="7"/>
  </cols>
  <sheetData>
    <row r="1" ht="32" customHeight="1">
      <c r="A1" s="40" t="inlineStr">
        <is>
          <t>アーティストID</t>
        </is>
      </c>
      <c r="B1" s="40" t="inlineStr">
        <is>
          <t>状態</t>
        </is>
      </c>
      <c r="C1" s="40" t="inlineStr">
        <is>
          <t>種ID</t>
        </is>
      </c>
      <c r="D1" s="40" t="inlineStr">
        <is>
          <t>仮タイトル</t>
        </is>
      </c>
      <c r="E1" s="40" t="inlineStr">
        <is>
          <t>サビ（英語）</t>
        </is>
      </c>
      <c r="F1" s="40" t="inlineStr">
        <is>
          <t>1番の書き出し（英語）</t>
        </is>
      </c>
      <c r="G1" s="40" t="inlineStr">
        <is>
          <t>日本語の意味と気持ち</t>
        </is>
      </c>
    </row>
    <row r="2">
      <c r="A2" s="35" t="inlineStr">
        <is>
          <t>declan_fay</t>
        </is>
      </c>
      <c r="B2" s="13" t="inlineStr">
        <is>
          <t>採用</t>
        </is>
      </c>
      <c r="C2" s="27" t="inlineStr">
        <is>
          <t>dm_s02</t>
        </is>
      </c>
      <c r="D2" s="12" t="inlineStr">
        <is>
          <t>Side B</t>
        </is>
      </c>
      <c r="E2" s="12" t="inlineStr">
        <is>
          <t>Flip it over, let it run
Side B starts where the city's done
Your voice comes up at 2:40 through the hiss
Hold on now, lad, I'm recording this</t>
        </is>
      </c>
      <c r="F2" s="12" t="inlineStr">
        <is>
          <t>A shoebox came in April, brown tape across the lid
Forty-three cassettes in your careful capitals
FRIDAY, LATE — DON'T TAPE OVER
I put the first one in on the 401</t>
        </is>
      </c>
      <c r="G2" s="12" t="inlineStr">
        <is>
          <t>祖父が亡くなった春、母から届いた靴箱のカセット。19 年前に亡くなった父の声がテープの頭に残っていて、それを夜の 401 号線で初めて聴いた。A 面が終わっても裏返せば続く——父の時間を自分の B 面に引き継ぐ歌。泣かずに、ラベルの文字と時刻だけで気持ちを運ぶ。</t>
        </is>
      </c>
    </row>
    <row r="3">
      <c r="A3" s="35" t="inlineStr">
        <is>
          <t>declan_fay</t>
        </is>
      </c>
      <c r="B3" s="13" t="inlineStr">
        <is>
          <t>採用</t>
        </is>
      </c>
      <c r="C3" s="27" t="inlineStr">
        <is>
          <t>dm_s04</t>
        </is>
      </c>
      <c r="D3" s="12" t="inlineStr">
        <is>
          <t>The Long Way to Dundas</t>
        </is>
      </c>
      <c r="E3" s="12" t="inlineStr">
        <is>
          <t>I'll take the long way to Dundas
Lake on the left, it's ten past four
Flour on your sleeve from yesterday
Twenty minutes — I don't need more</t>
        </is>
      </c>
      <c r="F3" s="12" t="inlineStr">
        <is>
          <t>I clock out at three, the lamps still humming
You're in the hall, lacing up in the dark
The radio's playing the show I recorded
So nobody's talking, and that's the best part</t>
        </is>
      </c>
      <c r="G3" s="12" t="inlineStr">
        <is>
          <t>夜勤明けの彼と早番の彼女が一緒にいられるのは、パン屋までの 20 分だけ。わざと湖沿いを遠回りして、その時間を少しだけ延ばす。足りない時間を嘆くのではなく、それで十分だと言える今の満ち足りを歌う。車内で流れているのが自分の録った番組、という小さな可笑しさも入れた。</t>
        </is>
      </c>
    </row>
    <row r="4">
      <c r="A4" s="36" t="inlineStr">
        <is>
          <t>hollowplan</t>
        </is>
      </c>
      <c r="B4" s="13" t="inlineStr">
        <is>
          <t>採用</t>
        </is>
      </c>
      <c r="C4" s="27" t="inlineStr">
        <is>
          <t>hp_s04</t>
        </is>
      </c>
      <c r="D4" s="12" t="inlineStr">
        <is>
          <t>Services at Three</t>
        </is>
      </c>
      <c r="E4" s="12" t="inlineStr">
        <is>
          <t>still here
still here
northbound, still
still here</t>
        </is>
      </c>
      <c r="F4" s="12" t="inlineStr">
        <is>
          <t>Half eleven out of Victoria, tea going cold in the seat-back net.
Three a.m. services, strip lights humming in a key I can keep.</t>
        </is>
      </c>
      <c r="G4" s="12" t="inlineStr">
        <is>
          <t>父の入院中に隔週で乗った夜行バスの曲。『まだここにいる』は、眠れずに起きている自分にも、病室の父にも向けた言葉。声の切れ端では still here を半音ずつずらして 4 回だけ鳴らす。何も起きない 4 時間半を、悪くない時間として残したい。</t>
        </is>
      </c>
    </row>
    <row r="5">
      <c r="A5" s="36" t="inlineStr">
        <is>
          <t>hollowplan</t>
        </is>
      </c>
      <c r="B5" s="13" t="inlineStr">
        <is>
          <t>採用</t>
        </is>
      </c>
      <c r="C5" s="27" t="inlineStr">
        <is>
          <t>hp_s03</t>
        </is>
      </c>
      <c r="D5" s="12" t="inlineStr">
        <is>
          <t>Nine by Seven</t>
        </is>
      </c>
      <c r="E5" s="12" t="inlineStr">
        <is>
          <t>nine by seven
nine by seven
leave the middle
nine by seven</t>
        </is>
      </c>
      <c r="F5" s="12" t="inlineStr">
        <is>
          <t>Red and black cloth on every chair, the courtyard full, then empty by dawn.
I paced it heel to toe and wrote the numbers on my wrist.</t>
        </is>
      </c>
      <c r="G5" s="12" t="inlineStr">
        <is>
          <t>祖母の葬儀の夜明け、人が引いた中庭を歩幅で測った記憶。泣くかわりに数えた。leave the middle は祖母の『真ん中はみんなのもの』を自分の言葉に置き換えたもの。数字は息のように淡々と繰り返す。</t>
        </is>
      </c>
    </row>
    <row r="6">
      <c r="A6" s="37" t="inlineStr">
        <is>
          <t>nao_easterly</t>
        </is>
      </c>
      <c r="B6" s="13" t="inlineStr">
        <is>
          <t>採用</t>
        </is>
      </c>
      <c r="C6" s="27" t="inlineStr">
        <is>
          <t>nao_s08</t>
        </is>
      </c>
      <c r="D6" s="12" t="inlineStr">
        <is>
          <t>Due East</t>
        </is>
      </c>
      <c r="E6" s="12" t="inlineStr">
        <is>
          <t>March the twentieth, the sun is on the center line
Visor up at sixty, I'm a minute ahead of time
Twice a year it rises right where this road is aimed
Due east, due east, me and the day are pointed the same</t>
        </is>
      </c>
      <c r="F6" s="12" t="inlineStr">
        <is>
          <t>Dad wrote it on the whiteboard the morning I was born
Six-oh-eight, roads clear and dry, frost on the orchard floor
Twenty-four years later I'm still up before the plow
Cocoa in the cupholder, and the Gorge is waking now</t>
        </is>
      </c>
      <c r="G6" s="12" t="inlineStr">
        <is>
          <t>春分の朝、太陽が道の真正面から昇る日に生まれた自分の歌。父が生まれた朝の日の出時刻と路面状況をホワイトボードに書いていたことと、24 歳の今も除雪車より早く起きていることを重ねる。サビは、1 年に 2 回だけ自分と一日の向きがそろう朝のまっすぐな高揚。気持ちは説明せず、時刻と速度とサンバイザーで語る。</t>
        </is>
      </c>
    </row>
    <row r="7">
      <c r="A7" s="37" t="inlineStr">
        <is>
          <t>nao_easterly</t>
        </is>
      </c>
      <c r="B7" s="13" t="inlineStr">
        <is>
          <t>採用</t>
        </is>
      </c>
      <c r="C7" s="27" t="inlineStr">
        <is>
          <t>nao_s03</t>
        </is>
      </c>
      <c r="D7" s="12" t="inlineStr">
        <is>
          <t>Twenty Doors</t>
        </is>
      </c>
      <c r="E7" s="12" t="inlineStr">
        <is>
          <t>Nobody sees me, and that's alright
I leave the bread warm in the porch light
Twenty doors, then the ramp to eighty-four
And the sky's the only one who opens a door</t>
        </is>
      </c>
      <c r="F7" s="12" t="inlineStr">
        <is>
          <t>Three-thirty, the racks roll out in a line
Flour on my sleeve and the route in my mind
Alberta, then Fremont, the bridges asleep
Twenty borrowed keys, twenty secrets to keep</t>
        </is>
      </c>
      <c r="G7" s="12" t="inlineStr">
        <is>
          <t>午前 3 時半から、市内 20 軒のカフェの合鍵を預かってパンを置いていく、今の仕事の歌。誰にも会わないことを、さみしさではなく『街を先に温めておく役目』として受け止めている。19 軒目まではドアを開けるのは自分だが、最後に 84 号線の東行きに乗ると、空のほうが自分のためにドアを開けてくれる。気持ちは言わず、時刻・通りの名前・合鍵の数で語る。</t>
        </is>
      </c>
    </row>
    <row r="8">
      <c r="A8" s="38" t="inlineStr">
        <is>
          <t>soft_cantilever</t>
        </is>
      </c>
      <c r="B8" s="13" t="inlineStr">
        <is>
          <t>採用</t>
        </is>
      </c>
      <c r="C8" s="27" t="inlineStr">
        <is>
          <t>sc_s01</t>
        </is>
      </c>
      <c r="D8" s="12" t="inlineStr">
        <is>
          <t>Two Lanes Over</t>
        </is>
      </c>
      <c r="E8" s="12" t="inlineStr">
        <is>
          <t>Flash my lights and you flash them back
Two lanes over on the Hume
Twenty-two years you hung doors on cars
Now the whole road is your room</t>
        </is>
      </c>
      <c r="F8" s="12" t="inlineStr">
        <is>
          <t>You kept your plant badge in the glovebox
Under the rosary and the fuel receipts
You call me from Wallan at a quarter past one
Just to tell me which pie you'd eat</t>
        </is>
      </c>
      <c r="G8" s="12" t="inlineStr">
        <is>
          <t>工場の閉鎖のあと長距離トラックの運転手になった父と、Hume Freeway で並んで走る歌。言葉ではなくライトの点滅で会話する。車のドアを付けていた父が、今は道全体を自分の部屋にしているという、敬意と少しの寂しさ。</t>
        </is>
      </c>
    </row>
    <row r="9">
      <c r="A9" s="38" t="inlineStr">
        <is>
          <t>soft_cantilever</t>
        </is>
      </c>
      <c r="B9" s="13" t="inlineStr">
        <is>
          <t>採用</t>
        </is>
      </c>
      <c r="C9" s="27" t="inlineStr">
        <is>
          <t>sc_s06</t>
        </is>
      </c>
      <c r="D9" s="12" t="inlineStr">
        <is>
          <t>Five K</t>
        </is>
      </c>
      <c r="E9" s="12" t="inlineStr">
        <is>
          <t>We drew the whole world inside five K
Doors on tracing paper taped along the hall
Now the freeway cuts the day open like a section
Windows down, the three of us, that's all</t>
        </is>
      </c>
      <c r="F9" s="12" t="inlineStr">
        <is>
          <t>Bia sent a bassline at two a.m.
Tav played the beat on a frying pan
I sang into a wardrobe full of coats
So the neighbours wouldn't hear the plan</t>
        </is>
      </c>
      <c r="G9" s="12" t="inlineStr">
        <is>
          <t>ロックダウンで半径 5 km から出られなかった 2 年間、3 人は別々の部屋で曲を作った。解除のあと初めて 3 人でバンに乗り、高速に出た日の開放感。断面図が建物の中を見せるように、道が一日を切り開いて見せてくれる。大げさな言葉ではなく『それだけでいい』という満ち足りた気持ち。</t>
        </is>
      </c>
    </row>
    <row r="10">
      <c r="A10" s="39" t="inlineStr">
        <is>
          <t>tidewool</t>
        </is>
      </c>
      <c r="B10" s="13" t="inlineStr">
        <is>
          <t>採用</t>
        </is>
      </c>
      <c r="C10" s="27" t="inlineStr">
        <is>
          <t>tw_s02</t>
        </is>
      </c>
      <c r="D10" s="12" t="inlineStr">
        <is>
          <t>The Low Part</t>
        </is>
      </c>
      <c r="E10" s="12" t="inlineStr">
        <is>
          <t>Your night comes in as a file on my phone
I play it out loud in the woolshed alone
Half a world of water and a cold cup of tea
You sing the low part and leave the top for me</t>
        </is>
      </c>
      <c r="F10" s="12" t="inlineStr">
        <is>
          <t>Frost on the gatepost, the dogs at my heel
Seven o'clock and the paddocks are steel
You'd be locking the boatyard, rain on the slip
Humming a line with a pencil at your lip</t>
        </is>
      </c>
      <c r="G10" s="12" t="inlineStr">
        <is>
          <t>2020〜21 年、オタゴとコーンウォールで 12 時間ずれて暮らした 2 人。ゲシンの夜がアイラの朝に音声ファイルとして届く。彼は下のパートだけを歌い、上を空けておく。離れていても 1 つのハモりを一緒に作っていたことを、凍った門や冷めた紅茶で淡々と歌う。</t>
        </is>
      </c>
    </row>
    <row r="11">
      <c r="A11" s="39" t="inlineStr">
        <is>
          <t>tidewool</t>
        </is>
      </c>
      <c r="B11" s="13" t="inlineStr">
        <is>
          <t>採用</t>
        </is>
      </c>
      <c r="C11" s="27" t="inlineStr">
        <is>
          <t>tw_s05</t>
        </is>
      </c>
      <c r="D11" s="12" t="inlineStr">
        <is>
          <t>Wipers on Slow</t>
        </is>
      </c>
      <c r="E11" s="12" t="inlineStr">
        <is>
          <t>Wipers on slow and the road shining black as a keel
Mam on the line saying don't you go rushing the wheel
I've got your jumper on, the one that you posted in spring
Five hours of rain and the radio not saying a thing</t>
        </is>
      </c>
      <c r="F11" s="12" t="inlineStr">
        <is>
          <t>Left the yard at four with the varnish still wet
You filled me a flask that I haven't opened yet
Bodmin in cloud and the A30 grey
Three hundred miles of the same kind of day</t>
        </is>
      </c>
      <c r="G11" s="12" t="inlineStr">
        <is>
          <t>2021 年 11 月、父の心臓の手術に向けて、ペンリンからソルヴァまで 5 時間半の雨の運転。怖さを言葉にせず、ワイパーの速さ、母の電話、離れていた春にアイラが送ってくれたセーター、詰めてくれた魔法瓶だけを並べる。何も起きない道のりそのものが祈りになっている。</t>
        </is>
      </c>
    </row>
  </sheetData>
  <autoFilter ref="A1:G11"/>
  <conditionalFormatting sqref="B2:B510">
    <cfRule type="cellIs" priority="1" operator="equal" dxfId="0">
      <formula>"提案"</formula>
    </cfRule>
    <cfRule type="cellIs" priority="2" operator="equal" dxfId="1">
      <formula>"採用"</formula>
    </cfRule>
    <cfRule type="cellIs" priority="3" operator="equal" dxfId="2">
      <formula>"保留"</formula>
    </cfRule>
    <cfRule type="cellIs" priority="4" operator="equal" dxfId="3">
      <formula>"却下"</formula>
    </cfRule>
    <cfRule type="cellIs" priority="5" operator="equal" dxfId="4">
      <formula>"反映済み"</formula>
    </cfRule>
  </conditionalFormatting>
  <conditionalFormatting sqref="A2:G510">
    <cfRule type="expression" priority="6" dxfId="5">
      <formula>$B2="却下"</formula>
    </cfRule>
  </conditionalFormatting>
  <conditionalFormatting sqref="B2:G510">
    <cfRule type="expression" priority="7" dxfId="6">
      <formula>AND($A2&lt;&gt;"",MOD(ROW(),2)=0)</formula>
    </cfRule>
  </conditionalFormatting>
  <conditionalFormatting sqref="A2:A510">
    <cfRule type="cellIs" priority="8" operator="equal" dxfId="7">
      <formula>"declan_fay"</formula>
    </cfRule>
    <cfRule type="cellIs" priority="9" operator="equal" dxfId="8">
      <formula>"hollowplan"</formula>
    </cfRule>
    <cfRule type="cellIs" priority="10" operator="equal" dxfId="9">
      <formula>"nao_easterly"</formula>
    </cfRule>
    <cfRule type="cellIs" priority="11" operator="equal" dxfId="10">
      <formula>"soft_cantilever"</formula>
    </cfRule>
    <cfRule type="cellIs" priority="12" operator="equal" dxfId="11">
      <formula>"tidewool"</formula>
    </cfRule>
  </conditionalFormatting>
  <dataValidations count="1">
    <dataValidation sqref="B2:B510" showDropDown="0" showInputMessage="0" showErrorMessage="0" allowBlank="1" errorTitle="選べる値" error="一覧から選んでください（空欄も可）" type="list">
      <formula1>"提案,採用,保留,却下,反映済み"</formula1>
    </dataValidation>
  </dataValidations>
  <pageMargins left="0.75" right="0.75" top="1" bottom="1" header="0.5" footer="0.5"/>
</worksheet>
</file>

<file path=xl/worksheets/sheet10.xml><?xml version="1.0" encoding="utf-8"?>
<worksheet xmlns="http://schemas.openxmlformats.org/spreadsheetml/2006/main">
  <sheetPr>
    <tabColor rgb="006F9A7E"/>
    <outlinePr summaryBelow="1" summaryRight="1"/>
    <pageSetUpPr/>
  </sheetPr>
  <dimension ref="A1:F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9" customWidth="1" min="2" max="2"/>
    <col width="12" customWidth="1" min="3" max="3"/>
    <col width="40" customWidth="1" min="4" max="4"/>
    <col width="40" customWidth="1" min="5" max="5"/>
    <col width="9" customWidth="1" min="6" max="6"/>
  </cols>
  <sheetData>
    <row r="1" ht="32" customHeight="1">
      <c r="A1" s="40" t="inlineStr">
        <is>
          <t>アーティストID</t>
        </is>
      </c>
      <c r="B1" s="40" t="inlineStr">
        <is>
          <t>状態</t>
        </is>
      </c>
      <c r="C1" s="40" t="inlineStr">
        <is>
          <t>日付</t>
        </is>
      </c>
      <c r="D1" s="40" t="inlineStr">
        <is>
          <t>出来事</t>
        </is>
      </c>
      <c r="E1" s="40" t="inlineStr">
        <is>
          <t>気持ち</t>
        </is>
      </c>
      <c r="F1" s="40" t="inlineStr">
        <is>
          <t>歌にする</t>
        </is>
      </c>
    </row>
    <row r="2">
      <c r="A2" s="35" t="inlineStr">
        <is>
          <t>declan_fay</t>
        </is>
      </c>
      <c r="B2" s="13" t="inlineStr">
        <is>
          <t>採用</t>
        </is>
      </c>
      <c r="C2" s="12" t="inlineStr">
        <is>
          <t>2026-08-23</t>
        </is>
      </c>
      <c r="D2" s="12" t="inlineStr">
        <is>
          <t>コークの母から写真が届いた。父の深緑のセダンが、譲った近所の整備士の手で直され、旧車の集まりに並んでいた。カセットデッキもまだ動くらしい。</t>
        </is>
      </c>
      <c r="E2" s="12" t="inlineStr">
        <is>
          <t>父の時間が、知らない人の手でちゃんと続いている。少し可笑しくて、かなり嬉しかった。</t>
        </is>
      </c>
      <c r="F2" s="13" t="inlineStr">
        <is>
          <t>○</t>
        </is>
      </c>
    </row>
    <row r="3">
      <c r="A3" s="35" t="inlineStr">
        <is>
          <t>declan_fay</t>
        </is>
      </c>
      <c r="B3" s="13" t="inlineStr">
        <is>
          <t>採用</t>
        </is>
      </c>
      <c r="C3" s="12" t="inlineStr">
        <is>
          <t>2026-09-14</t>
        </is>
      </c>
      <c r="D3" s="12" t="inlineStr">
        <is>
          <t>トロントに来て 10 年の日。イネスがエッグタルトの生地で『10』の形を焼いてくれた。シフト明けに一人で、いつものガーディナーからの四角を一周した。</t>
        </is>
      </c>
      <c r="E3" s="12" t="inlineStr">
        <is>
          <t>どちらが家かを決めなくていいと思えた。10 年前の自分に、まあ悪くないぞと言いたい。</t>
        </is>
      </c>
      <c r="F3" s="13" t="inlineStr">
        <is>
          <t>○</t>
        </is>
      </c>
    </row>
    <row r="4">
      <c r="A4" s="35" t="inlineStr">
        <is>
          <t>declan_fay</t>
        </is>
      </c>
      <c r="B4" s="13" t="inlineStr">
        <is>
          <t>採用</t>
        </is>
      </c>
      <c r="C4" s="12" t="inlineStr">
        <is>
          <t>2026-10-03</t>
        </is>
      </c>
      <c r="D4" s="12" t="inlineStr">
        <is>
          <t>局の古い制作室が年内に片付けられることになり、使ってきたカセットデッキを持ち帰っていいと言われた。同じ週、2 歳の甥ロリーがビデオ通話で初めて『Dec』と呼んだ。</t>
        </is>
      </c>
      <c r="E4" s="12" t="inlineStr">
        <is>
          <t>一つの場所が終わるのは寂しいが、名前を呼ばれたことの方が大きかった。これは歌にせず、自分のために取っておく。</t>
        </is>
      </c>
      <c r="F4" s="13" t="inlineStr"/>
    </row>
    <row r="5">
      <c r="A5" s="36" t="inlineStr">
        <is>
          <t>hollowplan</t>
        </is>
      </c>
      <c r="B5" s="13" t="inlineStr">
        <is>
          <t>採用</t>
        </is>
      </c>
      <c r="C5" s="12" t="inlineStr">
        <is>
          <t>2026-08-17</t>
        </is>
      </c>
      <c r="D5" s="12" t="inlineStr">
        <is>
          <t>クマシの叔父から WhatsApp で、祖母の家の中庭の半分に屋根をかけ、床をタイルに張り替えると連絡が来た。工事前の写真を 40 枚送ってもらい、柱の間隔をメジャーで測ってほしいと頼んだ。</t>
        </is>
      </c>
      <c r="E5" s="12" t="inlineStr">
        <is>
          <t>反対する立場ではないと分かっている。ただ、空いていた真ん中を記録しておきたい。</t>
        </is>
      </c>
      <c r="F5" s="13" t="inlineStr">
        <is>
          <t>○</t>
        </is>
      </c>
    </row>
    <row r="6">
      <c r="A6" s="36" t="inlineStr">
        <is>
          <t>hollowplan</t>
        </is>
      </c>
      <c r="B6" s="13" t="inlineStr">
        <is>
          <t>採用</t>
        </is>
      </c>
      <c r="C6" s="12" t="inlineStr">
        <is>
          <t>2026-09-26</t>
        </is>
      </c>
      <c r="D6" s="12" t="inlineStr">
        <is>
          <t>リーズの教会ホールで母の退職の会。母の同僚の看護師たちが、娘の曲を夜勤明けに聴いていると話しかけてきた。日曜 23 時の夜行バスでロンドンに戻った。</t>
        </is>
      </c>
      <c r="E6" s="12" t="inlineStr">
        <is>
          <t>母が自分の曲を人に配っていたことを初めて知った。照れくさく、バスの中で少し泣きそうになった。</t>
        </is>
      </c>
      <c r="F6" s="13" t="inlineStr">
        <is>
          <t>○</t>
        </is>
      </c>
    </row>
    <row r="7">
      <c r="A7" s="36" t="inlineStr">
        <is>
          <t>hollowplan</t>
        </is>
      </c>
      <c r="B7" s="13" t="inlineStr">
        <is>
          <t>採用</t>
        </is>
      </c>
      <c r="C7" s="12" t="inlineStr">
        <is>
          <t>2026-10-03</t>
        </is>
      </c>
      <c r="D7" s="12" t="inlineStr">
        <is>
          <t>レーベルから他の組の曲の素材（ステム）が初めて届いた。屋根裏の床に模型の部品を並べるつもりで、1 本ずつ聴き分けた。</t>
        </is>
      </c>
      <c r="E7" s="12" t="inlineStr">
        <is>
          <t>他人の声を切るのは、他人の家の壁に穴を開けるような緊張がある。1 語だけ、丁寧に借りたい。</t>
        </is>
      </c>
      <c r="F7" s="13" t="inlineStr"/>
    </row>
    <row r="8">
      <c r="A8" s="37" t="inlineStr">
        <is>
          <t>nao_easterly</t>
        </is>
      </c>
      <c r="B8" s="13" t="inlineStr">
        <is>
          <t>採用</t>
        </is>
      </c>
      <c r="C8" s="12" t="inlineStr">
        <is>
          <t>2026-08-17</t>
        </is>
      </c>
      <c r="D8" s="12" t="inlineStr">
        <is>
          <t>東オレゴンの山火事の煙で、1 週間ポートランドの日の出が赤い円盤のように見えた。消火隊のシーズンを終えた弟 Ken を迎えに、夜明けに 84 号線を東へ 4 時間走ってジョン・デイまで行った。</t>
        </is>
      </c>
      <c r="E8" s="12" t="inlineStr">
        <is>
          <t>煙の向こうの小さな赤い太陽を、弟と黙って見ていた。景色より、弟が無事に帰ってきたことのほうがずっと大きかった。</t>
        </is>
      </c>
      <c r="F8" s="13" t="inlineStr">
        <is>
          <t>○</t>
        </is>
      </c>
    </row>
    <row r="9">
      <c r="A9" s="37" t="inlineStr">
        <is>
          <t>nao_easterly</t>
        </is>
      </c>
      <c r="B9" s="13" t="inlineStr">
        <is>
          <t>採用</t>
        </is>
      </c>
      <c r="C9" s="12" t="inlineStr">
        <is>
          <t>2026-09-22</t>
        </is>
      </c>
      <c r="D9" s="12" t="inlineStr">
        <is>
          <t>秋分の朝、デモの「Due East」を流しながらフッドリバーの実家へ帰った。朝食のとき、父がこの冬を最後に除雪の仕事を引退すると言った。</t>
        </is>
      </c>
      <c r="E9" s="12" t="inlineStr">
        <is>
          <t>ずっと続くと思っていた父の冬に終わりがあると知った。最初のシングルを、その季節の始まりに間に合わせたいと思った。</t>
        </is>
      </c>
      <c r="F9" s="13" t="inlineStr">
        <is>
          <t>○</t>
        </is>
      </c>
    </row>
    <row r="10">
      <c r="A10" s="37" t="inlineStr">
        <is>
          <t>nao_easterly</t>
        </is>
      </c>
      <c r="B10" s="13" t="inlineStr">
        <is>
          <t>採用</t>
        </is>
      </c>
      <c r="C10" s="12" t="inlineStr">
        <is>
          <t>2026-10-03</t>
        </is>
      </c>
      <c r="D10" s="12" t="inlineStr">
        <is>
          <t>ベーカリーの配送バンが電気の新車に替わった。初日の暗いルートでエンジン音がなく、自分の鼻歌が車内で初めてはっきり聞こえた。</t>
        </is>
      </c>
      <c r="E10" s="12" t="inlineStr">
        <is>
          <t>少し落ち着かなかったが、静かな車内で歌のメモが 3 つ増えた。</t>
        </is>
      </c>
      <c r="F10" s="13" t="inlineStr"/>
    </row>
    <row r="11">
      <c r="A11" s="38" t="inlineStr">
        <is>
          <t>soft_cantilever</t>
        </is>
      </c>
      <c r="B11" s="13" t="inlineStr">
        <is>
          <t>採用</t>
        </is>
      </c>
      <c r="C11" s="12" t="inlineStr">
        <is>
          <t>2026-08-22</t>
        </is>
      </c>
      <c r="D11" s="12" t="inlineStr">
        <is>
          <t>リハの休憩中、ビアの次の曲の断面図にキノがアイスコーヒーをこぼした。にじんだ線の形をそのまま 2 小節の間奏にした。</t>
        </is>
      </c>
      <c r="E11" s="12" t="inlineStr">
        <is>
          <t>きれいな図面より、汚れた跡のほうが 3 人の手が見える気がした。</t>
        </is>
      </c>
      <c r="F11" s="13" t="inlineStr"/>
    </row>
    <row r="12">
      <c r="A12" s="38" t="inlineStr">
        <is>
          <t>soft_cantilever</t>
        </is>
      </c>
      <c r="B12" s="13" t="inlineStr">
        <is>
          <t>採用</t>
        </is>
      </c>
      <c r="C12" s="12" t="inlineStr">
        <is>
          <t>2026-09-13</t>
        </is>
      </c>
      <c r="D12" s="12" t="inlineStr">
        <is>
          <t>キノの父が日曜の昼食の席で、来年 3 月の誕生日でトラックを降りると告げた。最後はいつものシドニー便。</t>
        </is>
      </c>
      <c r="E12" s="12" t="inlineStr">
        <is>
          <t>ほっとしたのと、父の『部屋』だった道が無くなる寂しさが半分ずつ。並んで走る約束をした。</t>
        </is>
      </c>
      <c r="F12" s="13" t="inlineStr">
        <is>
          <t>○</t>
        </is>
      </c>
    </row>
    <row r="13">
      <c r="A13" s="38" t="inlineStr">
        <is>
          <t>soft_cantilever</t>
        </is>
      </c>
      <c r="B13" s="13" t="inlineStr">
        <is>
          <t>採用</t>
        </is>
      </c>
      <c r="C13" s="12" t="inlineStr">
        <is>
          <t>2026-10-04</t>
        </is>
      </c>
      <c r="D13" s="12" t="inlineStr">
        <is>
          <t>配信用のマスターを、3 人でバンに乗って Wallan のサービスエリアまで走りながら聴いた。『車で聴いて良くなければ出さない』の最終確認。</t>
        </is>
      </c>
      <c r="E13" s="12" t="inlineStr">
        <is>
          <t>駐車場で 3 人とも何も言わずにもう 1 回再生した。それが合格の合図だった。</t>
        </is>
      </c>
      <c r="F13" s="13" t="inlineStr">
        <is>
          <t>○</t>
        </is>
      </c>
    </row>
    <row r="14">
      <c r="A14" s="39" t="inlineStr">
        <is>
          <t>tidewool</t>
        </is>
      </c>
      <c r="B14" s="13" t="inlineStr">
        <is>
          <t>採用</t>
        </is>
      </c>
      <c r="C14" s="12" t="inlineStr">
        <is>
          <t>2026-08-23</t>
        </is>
      </c>
      <c r="D14" s="12" t="inlineStr">
        <is>
          <t>ギグ漕ぎクラブの 72 歳の元漁師に頼まれていた紺のガンジーが、7 週間かけて仕上がった。港の漕艇大会の日、彼はそれを着て舵を取り、終わってから袖口の模様を何度も撫でていた。</t>
        </is>
      </c>
      <c r="E14" s="12" t="inlineStr">
        <is>
          <t>アイラ：自分の手の時間が、知らない誰かの海の時間になった。うれしいというより、少し背筋が伸びた。</t>
        </is>
      </c>
      <c r="F14" s="13" t="inlineStr">
        <is>
          <t>○</t>
        </is>
      </c>
    </row>
    <row r="15">
      <c r="A15" s="39" t="inlineStr">
        <is>
          <t>tidewool</t>
        </is>
      </c>
      <c r="B15" s="13" t="inlineStr">
        <is>
          <t>採用</t>
        </is>
      </c>
      <c r="C15" s="12" t="inlineStr">
        <is>
          <t>2026-09-14</t>
        </is>
      </c>
      <c r="D15" s="12" t="inlineStr">
        <is>
          <t>ゲシンの父から電話。ソルヴァの作業場の半分を、近くの村の 20 代の船大工に貸すことに決めたという。</t>
        </is>
      </c>
      <c r="E15" s="12" t="inlineStr">
        <is>
          <t>ゲシン：継がないと決めたのは自分なのに、胸のどこかが空いた。でも電話の父の声が明るくて、ほっとした。</t>
        </is>
      </c>
      <c r="F15" s="13" t="inlineStr">
        <is>
          <t>○</t>
        </is>
      </c>
    </row>
    <row r="16">
      <c r="A16" s="39" t="inlineStr">
        <is>
          <t>tidewool</t>
        </is>
      </c>
      <c r="B16" s="13" t="inlineStr">
        <is>
          <t>採用</t>
        </is>
      </c>
      <c r="C16" s="12" t="inlineStr">
        <is>
          <t>2026-10-03</t>
        </is>
      </c>
      <c r="D16" s="12" t="inlineStr">
        <is>
          <t>配信の準備で網小屋に録音機材を運び込んだ夜、屋根から雨漏りがして、乾かしていた毛糸の束が 1 つ濡れた。バケツを置いて、その音ごと 1 曲録った。</t>
        </is>
      </c>
      <c r="E16" s="12" t="inlineStr">
        <is>
          <t>完璧な部屋はないけれど、自分たちの雨の音だと思えば悪くない。</t>
        </is>
      </c>
      <c r="F16" s="13" t="inlineStr"/>
    </row>
  </sheetData>
  <autoFilter ref="A1:F16"/>
  <conditionalFormatting sqref="B2:B515">
    <cfRule type="cellIs" priority="1" operator="equal" dxfId="0">
      <formula>"提案"</formula>
    </cfRule>
    <cfRule type="cellIs" priority="2" operator="equal" dxfId="1">
      <formula>"採用"</formula>
    </cfRule>
    <cfRule type="cellIs" priority="3" operator="equal" dxfId="2">
      <formula>"保留"</formula>
    </cfRule>
    <cfRule type="cellIs" priority="4" operator="equal" dxfId="3">
      <formula>"却下"</formula>
    </cfRule>
    <cfRule type="cellIs" priority="5" operator="equal" dxfId="4">
      <formula>"反映済み"</formula>
    </cfRule>
  </conditionalFormatting>
  <conditionalFormatting sqref="A2:F515">
    <cfRule type="expression" priority="6" dxfId="5">
      <formula>$B2="却下"</formula>
    </cfRule>
  </conditionalFormatting>
  <conditionalFormatting sqref="B2:F515">
    <cfRule type="expression" priority="7" dxfId="6">
      <formula>AND($A2&lt;&gt;"",MOD(ROW(),2)=0)</formula>
    </cfRule>
  </conditionalFormatting>
  <conditionalFormatting sqref="A2:A515">
    <cfRule type="cellIs" priority="8" operator="equal" dxfId="7">
      <formula>"declan_fay"</formula>
    </cfRule>
    <cfRule type="cellIs" priority="9" operator="equal" dxfId="8">
      <formula>"hollowplan"</formula>
    </cfRule>
    <cfRule type="cellIs" priority="10" operator="equal" dxfId="9">
      <formula>"nao_easterly"</formula>
    </cfRule>
    <cfRule type="cellIs" priority="11" operator="equal" dxfId="10">
      <formula>"soft_cantilever"</formula>
    </cfRule>
    <cfRule type="cellIs" priority="12" operator="equal" dxfId="11">
      <formula>"tidewool"</formula>
    </cfRule>
  </conditionalFormatting>
  <dataValidations count="2">
    <dataValidation sqref="F2:F515" showDropDown="0" showInputMessage="0" showErrorMessage="0" allowBlank="1" errorTitle="選べる値" error="一覧から選んでください（空欄も可）" type="list">
      <formula1>"○"</formula1>
    </dataValidation>
    <dataValidation sqref="B2:B515" showDropDown="0" showInputMessage="0" showErrorMessage="0" allowBlank="1" errorTitle="選べる値" error="一覧から選んでください（空欄も可）" type="list">
      <formula1>"提案,採用,保留,却下,反映済み"</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6F9A7E"/>
    <outlinePr summaryBelow="1" summaryRight="1"/>
    <pageSetUpPr/>
  </sheetPr>
  <dimension ref="A1:I3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9" customWidth="1" min="2" max="2"/>
    <col width="26" customWidth="1" min="3" max="3"/>
    <col width="40" customWidth="1" min="4" max="4"/>
    <col width="7" customWidth="1" min="5" max="5"/>
    <col width="40" customWidth="1" min="6" max="6"/>
    <col width="30" customWidth="1" min="7" max="7"/>
    <col width="7" customWidth="1" min="8" max="8"/>
    <col width="7" customWidth="1" min="9" max="9"/>
  </cols>
  <sheetData>
    <row r="1" ht="32" customHeight="1">
      <c r="A1" s="40" t="inlineStr">
        <is>
          <t>アーティストID</t>
        </is>
      </c>
      <c r="B1" s="40" t="inlineStr">
        <is>
          <t>状態</t>
        </is>
      </c>
      <c r="C1" s="40" t="inlineStr">
        <is>
          <t>曲名</t>
        </is>
      </c>
      <c r="D1" s="40" t="inlineStr">
        <is>
          <t>アーティスト</t>
        </is>
      </c>
      <c r="E1" s="40" t="inlineStr">
        <is>
          <t>年</t>
        </is>
      </c>
      <c r="F1" s="40" t="inlineStr">
        <is>
          <t>この組が選ぶ理由</t>
        </is>
      </c>
      <c r="G1" s="40" t="inlineStr">
        <is>
          <t>借りたい要素</t>
        </is>
      </c>
      <c r="H1" s="40" t="inlineStr">
        <is>
          <t>入手</t>
        </is>
      </c>
      <c r="I1" s="40" t="inlineStr">
        <is>
          <t>解析</t>
        </is>
      </c>
    </row>
    <row r="2">
      <c r="A2" s="35" t="inlineStr">
        <is>
          <t>declan_fay</t>
        </is>
      </c>
      <c r="B2" s="13" t="inlineStr">
        <is>
          <t>採用</t>
        </is>
      </c>
      <c r="C2" s="12" t="inlineStr">
        <is>
          <t>The Downtown Lights</t>
        </is>
      </c>
      <c r="D2" s="12" t="inlineStr">
        <is>
          <t>The Blue Nile</t>
        </is>
      </c>
      <c r="E2" s="12" t="inlineStr">
        <is>
          <t>1989</t>
        </is>
      </c>
      <c r="F2" s="12" t="inlineStr">
        <is>
          <t>父のテープの 1 本に深夜番組から録られて入っていた曲。大声を出さずに都市の夜の温度を伝える声と、ゆっくり開いていく和音を、自分の歌の基準にしている。</t>
        </is>
      </c>
      <c r="G2" s="12" t="inlineStr">
        <is>
          <t>worldview、harmony、vocal</t>
        </is>
      </c>
      <c r="H2" s="13" t="inlineStr"/>
      <c r="I2" s="13" t="inlineStr"/>
    </row>
    <row r="3">
      <c r="A3" s="35" t="inlineStr">
        <is>
          <t>declan_fay</t>
        </is>
      </c>
      <c r="B3" s="13" t="inlineStr">
        <is>
          <t>採用</t>
        </is>
      </c>
      <c r="C3" s="12" t="inlineStr">
        <is>
          <t>I'm Your Man</t>
        </is>
      </c>
      <c r="D3" s="12" t="inlineStr">
        <is>
          <t>Leonard Cohen</t>
        </is>
      </c>
      <c r="E3" s="12" t="inlineStr">
        <is>
          <t>1988</t>
        </is>
      </c>
      <c r="F3" s="12" t="inlineStr">
        <is>
          <t>母が台所でかけていたアルバムの表題曲。安いシンセとドラムマシンの上で、低い声が語るだけで歌になる。語りと歌の間の間合いを借りたい。</t>
        </is>
      </c>
      <c r="G3" s="12" t="inlineStr">
        <is>
          <t>vocal、phrase</t>
        </is>
      </c>
      <c r="H3" s="13" t="inlineStr"/>
      <c r="I3" s="13" t="inlineStr"/>
    </row>
    <row r="4">
      <c r="A4" s="35" t="inlineStr">
        <is>
          <t>declan_fay</t>
        </is>
      </c>
      <c r="B4" s="13" t="inlineStr">
        <is>
          <t>採用</t>
        </is>
      </c>
      <c r="C4" s="12" t="inlineStr">
        <is>
          <t>Slave to Love</t>
        </is>
      </c>
      <c r="D4" s="12" t="inlineStr">
        <is>
          <t>Bryan Ferry</t>
        </is>
      </c>
      <c r="E4" s="12" t="inlineStr">
        <is>
          <t>1985</t>
        </is>
      </c>
      <c r="F4" s="12" t="inlineStr">
        <is>
          <t>父のテープの 1985 年のラベルに何度も出てくる曲。張らずにささやくように歌う低い声と、柔らかいパッドの重ね方。大人の夜の音の手本。</t>
        </is>
      </c>
      <c r="G4" s="12" t="inlineStr">
        <is>
          <t>vocal、instruments</t>
        </is>
      </c>
      <c r="H4" s="13" t="inlineStr"/>
      <c r="I4" s="13" t="inlineStr"/>
    </row>
    <row r="5">
      <c r="A5" s="35" t="inlineStr">
        <is>
          <t>declan_fay</t>
        </is>
      </c>
      <c r="B5" s="13" t="inlineStr">
        <is>
          <t>採用</t>
        </is>
      </c>
      <c r="C5" s="12" t="inlineStr">
        <is>
          <t>Enjoy the Silence</t>
        </is>
      </c>
      <c r="D5" s="12" t="inlineStr">
        <is>
          <t>Depeche Mode</t>
        </is>
      </c>
      <c r="E5" s="12" t="inlineStr">
        <is>
          <t>1990</t>
        </is>
      </c>
      <c r="F5" s="12" t="inlineStr">
        <is>
          <t>カレッジのラジオ実習で古い音源を整理していて出会った。低い男声とシンセだけで大きなサビを作れること、アルペジオとベースの役割分担を学びたい。</t>
        </is>
      </c>
      <c r="G5" s="12" t="inlineStr">
        <is>
          <t>instruments、structure</t>
        </is>
      </c>
      <c r="H5" s="13" t="inlineStr"/>
      <c r="I5" s="13" t="inlineStr"/>
    </row>
    <row r="6">
      <c r="A6" s="35" t="inlineStr">
        <is>
          <t>declan_fay</t>
        </is>
      </c>
      <c r="B6" s="13" t="inlineStr">
        <is>
          <t>採用</t>
        </is>
      </c>
      <c r="C6" s="12" t="inlineStr">
        <is>
          <t>Nightcall</t>
        </is>
      </c>
      <c r="D6" s="12" t="inlineStr">
        <is>
          <t>Kavinsky</t>
        </is>
      </c>
      <c r="E6" s="12" t="inlineStr">
        <is>
          <t>2010</t>
        </is>
      </c>
      <c r="F6" s="12" t="inlineStr">
        <is>
          <t>18 歳の秋、映画館の帰りに何度も聴いた。太いシンセベースと遅いテンポで夜の道路を描く手触り。曲の歩幅をそのまま借りたい。</t>
        </is>
      </c>
      <c r="G6" s="12" t="inlineStr">
        <is>
          <t>groove、instruments</t>
        </is>
      </c>
      <c r="H6" s="13" t="inlineStr"/>
      <c r="I6" s="13" t="inlineStr"/>
    </row>
    <row r="7">
      <c r="A7" s="35" t="inlineStr">
        <is>
          <t>declan_fay</t>
        </is>
      </c>
      <c r="B7" s="13" t="inlineStr">
        <is>
          <t>採用</t>
        </is>
      </c>
      <c r="C7" s="12" t="inlineStr">
        <is>
          <t>A Real Hero</t>
        </is>
      </c>
      <c r="D7" s="12" t="inlineStr">
        <is>
          <t>College &amp; Electric Youth</t>
        </is>
      </c>
      <c r="E7" s="12" t="inlineStr">
        <is>
          <t>2010</t>
        </is>
      </c>
      <c r="F7" s="12" t="inlineStr">
        <is>
          <t>同じ映画で知った曲。単純な繰り返しのフレーズが、聴くたびに意味を変えていく。30 秒以内に核のフレーズを出す手本として。</t>
        </is>
      </c>
      <c r="G7" s="12" t="inlineStr">
        <is>
          <t>phrase、structure</t>
        </is>
      </c>
      <c r="H7" s="13" t="inlineStr"/>
      <c r="I7" s="13" t="inlineStr"/>
    </row>
    <row r="8">
      <c r="A8" s="35" t="inlineStr">
        <is>
          <t>declan_fay</t>
        </is>
      </c>
      <c r="B8" s="13" t="inlineStr">
        <is>
          <t>採用</t>
        </is>
      </c>
      <c r="C8" s="12" t="inlineStr">
        <is>
          <t>Blinding Lights</t>
        </is>
      </c>
      <c r="D8" s="12" t="inlineStr">
        <is>
          <t>The Weeknd</t>
        </is>
      </c>
      <c r="E8" s="12" t="inlineStr">
        <is>
          <t>2019</t>
        </is>
      </c>
      <c r="F8" s="12" t="inlineStr">
        <is>
          <t>2020 年春、誰もいないガーディナーを走る毎晩、局のプレイリストで流れ続けた曲。80 年代の音を今のヒットの速さで聴かせる構成と、イントロからすぐにフックが来る設計を学ぶ。</t>
        </is>
      </c>
      <c r="G8" s="12" t="inlineStr">
        <is>
          <t>structure、groove</t>
        </is>
      </c>
      <c r="H8" s="13" t="inlineStr"/>
      <c r="I8" s="13" t="inlineStr"/>
    </row>
    <row r="9">
      <c r="A9" s="35" t="inlineStr">
        <is>
          <t>declan_fay</t>
        </is>
      </c>
      <c r="B9" s="13" t="inlineStr">
        <is>
          <t>採用</t>
        </is>
      </c>
      <c r="C9" s="12" t="inlineStr">
        <is>
          <t>Nightswimming</t>
        </is>
      </c>
      <c r="D9" s="12" t="inlineStr">
        <is>
          <t>R.E.M.</t>
        </is>
      </c>
      <c r="E9" s="12" t="inlineStr">
        <is>
          <t>1992</t>
        </is>
      </c>
      <c r="F9" s="12" t="inlineStr">
        <is>
          <t>少し意外な 1 曲。シンセを使わず、ピアノと夜の記憶と古い写真だけで過ぎた時間を描いている。ニーヴと付き合っていた頃、夏の夜にリー川沿いで聴いた。時間の手触りを物で書く歌詞の書き方を借りたい。</t>
        </is>
      </c>
      <c r="G9" s="12" t="inlineStr">
        <is>
          <t>lyrics、worldview</t>
        </is>
      </c>
      <c r="H9" s="13" t="inlineStr"/>
      <c r="I9" s="13" t="inlineStr"/>
    </row>
    <row r="10">
      <c r="A10" s="36" t="inlineStr">
        <is>
          <t>hollowplan</t>
        </is>
      </c>
      <c r="B10" s="13" t="inlineStr">
        <is>
          <t>採用</t>
        </is>
      </c>
      <c r="C10" s="12" t="inlineStr">
        <is>
          <t>Xtal</t>
        </is>
      </c>
      <c r="D10" s="12" t="inlineStr">
        <is>
          <t>Aphex Twin</t>
        </is>
      </c>
      <c r="E10" s="12" t="inlineStr">
        <is>
          <t>1992</t>
        </is>
      </c>
      <c r="F10" s="12" t="inlineStr">
        <is>
          <t>言葉の無い息のような女声が、柔らかいビートの上を漂う。自分の声の切れ端を『歌』ではなく『空気』として置く手本。大学の工房で夜通し模型を作りながら繰り返し聴いた。</t>
        </is>
      </c>
      <c r="G10" s="12" t="inlineStr">
        <is>
          <t>vocal、instruments、worldview</t>
        </is>
      </c>
      <c r="H10" s="13" t="inlineStr"/>
      <c r="I10" s="13" t="inlineStr"/>
    </row>
    <row r="11">
      <c r="A11" s="36" t="inlineStr">
        <is>
          <t>hollowplan</t>
        </is>
      </c>
      <c r="B11" s="13" t="inlineStr">
        <is>
          <t>採用</t>
        </is>
      </c>
      <c r="C11" s="12" t="inlineStr">
        <is>
          <t>Archangel</t>
        </is>
      </c>
      <c r="D11" s="12" t="inlineStr">
        <is>
          <t>Burial</t>
        </is>
      </c>
      <c r="E11" s="12" t="inlineStr">
        <is>
          <t>2007</t>
        </is>
      </c>
      <c r="F11" s="12" t="inlineStr">
        <is>
          <t>生まれた南ロンドンの夜の音。14 歳でいとこの CD で出会い、声を細かく切ってピッチを変えると言葉より気持ちが残ると知った。夜行バスの窓の質感そのもの。</t>
        </is>
      </c>
      <c r="G11" s="12" t="inlineStr">
        <is>
          <t>vocal、worldview</t>
        </is>
      </c>
      <c r="H11" s="13" t="inlineStr"/>
      <c r="I11" s="13" t="inlineStr"/>
    </row>
    <row r="12">
      <c r="A12" s="36" t="inlineStr">
        <is>
          <t>hollowplan</t>
        </is>
      </c>
      <c r="B12" s="13" t="inlineStr">
        <is>
          <t>採用</t>
        </is>
      </c>
      <c r="C12" s="12" t="inlineStr">
        <is>
          <t>Angel Echoes</t>
        </is>
      </c>
      <c r="D12" s="12" t="inlineStr">
        <is>
          <t>Four Tet</t>
        </is>
      </c>
      <c r="E12" s="12" t="inlineStr">
        <is>
          <t>2010</t>
        </is>
      </c>
      <c r="F12" s="12" t="inlineStr">
        <is>
          <t>声の切れ端を楽器のように重ねて旋律を作るやり方。短い声の断片がループの中で少しずつ形を変えていく構成を借りたい。</t>
        </is>
      </c>
      <c r="G12" s="12" t="inlineStr">
        <is>
          <t>vocal、phrase、structure</t>
        </is>
      </c>
      <c r="H12" s="13" t="inlineStr"/>
      <c r="I12" s="13" t="inlineStr"/>
    </row>
    <row r="13">
      <c r="A13" s="36" t="inlineStr">
        <is>
          <t>hollowplan</t>
        </is>
      </c>
      <c r="B13" s="13" t="inlineStr">
        <is>
          <t>採用</t>
        </is>
      </c>
      <c r="C13" s="12" t="inlineStr">
        <is>
          <t>Kiara</t>
        </is>
      </c>
      <c r="D13" s="12" t="inlineStr">
        <is>
          <t>Bonobo</t>
        </is>
      </c>
      <c r="E13" s="12" t="inlineStr">
        <is>
          <t>2010</t>
        </is>
      </c>
      <c r="F13" s="12" t="inlineStr">
        <is>
          <t>ダウンテンポの揺れと、短く切った弦の断片。100〜108 BPM の曲で、ハーフタイム寄りのグルーヴを作るときの手本。</t>
        </is>
      </c>
      <c r="G13" s="12" t="inlineStr">
        <is>
          <t>groove、instruments</t>
        </is>
      </c>
      <c r="H13" s="13" t="inlineStr"/>
      <c r="I13" s="13" t="inlineStr"/>
    </row>
    <row r="14">
      <c r="A14" s="36" t="inlineStr">
        <is>
          <t>hollowplan</t>
        </is>
      </c>
      <c r="B14" s="13" t="inlineStr">
        <is>
          <t>採用</t>
        </is>
      </c>
      <c r="C14" s="12" t="inlineStr">
        <is>
          <t>Love and Death</t>
        </is>
      </c>
      <c r="D14" s="12" t="inlineStr">
        <is>
          <t>Ebo Taylor</t>
        </is>
      </c>
      <c r="E14" s="12" t="inlineStr">
        <is>
          <t>2010</t>
        </is>
      </c>
      <c r="F14" s="12" t="inlineStr">
        <is>
          <t>父が発売の年に買い、日曜の朝に何度もかけた CD の表題曲。ギターと管が短い動機を繰り返して、踊る人を急かさない。曲に入れる 2 音のハイライフ風ギターの源（少し意外な 1 曲）。</t>
        </is>
      </c>
      <c r="G14" s="12" t="inlineStr">
        <is>
          <t>instruments、groove</t>
        </is>
      </c>
      <c r="H14" s="13" t="inlineStr"/>
      <c r="I14" s="13" t="inlineStr"/>
    </row>
    <row r="15">
      <c r="A15" s="36" t="inlineStr">
        <is>
          <t>hollowplan</t>
        </is>
      </c>
      <c r="B15" s="13" t="inlineStr">
        <is>
          <t>採用</t>
        </is>
      </c>
      <c r="C15" s="12" t="inlineStr">
        <is>
          <t>Says</t>
        </is>
      </c>
      <c r="D15" s="12" t="inlineStr">
        <is>
          <t>Nils Frahm</t>
        </is>
      </c>
      <c r="E15" s="12" t="inlineStr">
        <is>
          <t>2013</t>
        </is>
      </c>
      <c r="F15" s="12" t="inlineStr">
        <is>
          <t>1 つのアルペジオが 8 分かけて少しずつ開いていく。何も起きないようで景色が変わる『無心の区間』の設計図。父の入院中、夜行バスで一番多く聴いた（少し意外な 1 曲）。</t>
        </is>
      </c>
      <c r="G15" s="12" t="inlineStr">
        <is>
          <t>structure、harmony</t>
        </is>
      </c>
      <c r="H15" s="13" t="inlineStr"/>
      <c r="I15" s="13" t="inlineStr"/>
    </row>
    <row r="16">
      <c r="A16" s="36" t="inlineStr">
        <is>
          <t>hollowplan</t>
        </is>
      </c>
      <c r="B16" s="13" t="inlineStr">
        <is>
          <t>採用</t>
        </is>
      </c>
      <c r="C16" s="12" t="inlineStr">
        <is>
          <t>Can't Do Without You</t>
        </is>
      </c>
      <c r="D16" s="12" t="inlineStr">
        <is>
          <t>Caribou</t>
        </is>
      </c>
      <c r="E16" s="12" t="inlineStr">
        <is>
          <t>2014</t>
        </is>
      </c>
      <c r="F16" s="12" t="inlineStr">
        <is>
          <t>同じ短い言葉を繰り返すうちに意味が変わっていく。歌詞を書かない自分が、1 語のフックだけで気持ちを動かすための手本。</t>
        </is>
      </c>
      <c r="G16" s="12" t="inlineStr">
        <is>
          <t>phrase、structure、vocal</t>
        </is>
      </c>
      <c r="H16" s="13" t="inlineStr"/>
      <c r="I16" s="13" t="inlineStr"/>
    </row>
    <row r="17">
      <c r="A17" s="36" t="inlineStr">
        <is>
          <t>hollowplan</t>
        </is>
      </c>
      <c r="B17" s="13" t="inlineStr">
        <is>
          <t>採用</t>
        </is>
      </c>
      <c r="C17" s="12" t="inlineStr">
        <is>
          <t>Glue</t>
        </is>
      </c>
      <c r="D17" s="12" t="inlineStr">
        <is>
          <t>Bicep</t>
        </is>
      </c>
      <c r="E17" s="12" t="inlineStr">
        <is>
          <t>2017</t>
        </is>
      </c>
      <c r="F17" s="12" t="inlineStr">
        <is>
          <t>遠くから振り返るレイヴの記憶のような、懐かしいパッドと切れ端の声。クラブにほとんど通わなかった自分にも届いた『外から見た夜』の温度。</t>
        </is>
      </c>
      <c r="G17" s="12" t="inlineStr">
        <is>
          <t>harmony、worldview</t>
        </is>
      </c>
      <c r="H17" s="13" t="inlineStr"/>
      <c r="I17" s="13" t="inlineStr"/>
    </row>
    <row r="18">
      <c r="A18" s="37" t="inlineStr">
        <is>
          <t>nao_easterly</t>
        </is>
      </c>
      <c r="B18" s="13" t="inlineStr">
        <is>
          <t>採用</t>
        </is>
      </c>
      <c r="C18" s="12" t="inlineStr">
        <is>
          <t>Everybody Wants to Rule the World</t>
        </is>
      </c>
      <c r="D18" s="12" t="inlineStr">
        <is>
          <t>Tears for Fears</t>
        </is>
      </c>
      <c r="E18" s="12" t="inlineStr">
        <is>
          <t>1985</t>
        </is>
      </c>
      <c r="F18" s="12" t="inlineStr">
        <is>
          <t>父のピックアップのカセットで、除雪の朝に何度も聴いた曲。揺れるリズムはそのまま借りず、明るいシンセの重ね方と、同じフレーズを繰り返しながら少しずつ開いていく構成を朝の高速の景色として借りたい。</t>
        </is>
      </c>
      <c r="G18" s="12" t="inlineStr">
        <is>
          <t>instruments、structure</t>
        </is>
      </c>
      <c r="H18" s="13" t="inlineStr"/>
      <c r="I18" s="13" t="inlineStr"/>
    </row>
    <row r="19">
      <c r="A19" s="37" t="inlineStr">
        <is>
          <t>nao_easterly</t>
        </is>
      </c>
      <c r="B19" s="13" t="inlineStr">
        <is>
          <t>採用</t>
        </is>
      </c>
      <c r="C19" s="12" t="inlineStr">
        <is>
          <t>The Mother We Share</t>
        </is>
      </c>
      <c r="D19" s="12" t="inlineStr">
        <is>
          <t>CHVRCHES</t>
        </is>
      </c>
      <c r="E19" s="12" t="inlineStr">
        <is>
          <t>2012</t>
        </is>
      </c>
      <c r="F19" s="12" t="inlineStr">
        <is>
          <t>シンセを手に入れた 13 歳のころに出会い、歌い方の手本にした曲。硬い 8 分のシンセと、高い声が子音をはっきり立てて言葉を置く歌い方を借りたい。</t>
        </is>
      </c>
      <c r="G19" s="12" t="inlineStr">
        <is>
          <t>vocal、instruments</t>
        </is>
      </c>
      <c r="H19" s="13" t="inlineStr"/>
      <c r="I19" s="13" t="inlineStr"/>
    </row>
    <row r="20">
      <c r="A20" s="37" t="inlineStr">
        <is>
          <t>nao_easterly</t>
        </is>
      </c>
      <c r="B20" s="13" t="inlineStr">
        <is>
          <t>採用</t>
        </is>
      </c>
      <c r="C20" s="12" t="inlineStr">
        <is>
          <t>Run Away With Me</t>
        </is>
      </c>
      <c r="D20" s="12" t="inlineStr">
        <is>
          <t>Carly Rae Jepsen</t>
        </is>
      </c>
      <c r="E20" s="12" t="inlineStr">
        <is>
          <t>2015</t>
        </is>
      </c>
      <c r="F20" s="12" t="inlineStr">
        <is>
          <t>高校時代、週末の朝 5 時のパン屋の仕込みでよく流れていた曲。イントロの一音で朝だと分かる掴みと、サビに入った瞬間に視界が開ける構成を、日の出の瞬間の高揚として借りたい。</t>
        </is>
      </c>
      <c r="G20" s="12" t="inlineStr">
        <is>
          <t>structure、phrase</t>
        </is>
      </c>
      <c r="H20" s="13" t="inlineStr"/>
      <c r="I20" s="13" t="inlineStr"/>
    </row>
    <row r="21">
      <c r="A21" s="37" t="inlineStr">
        <is>
          <t>nao_easterly</t>
        </is>
      </c>
      <c r="B21" s="13" t="inlineStr">
        <is>
          <t>採用</t>
        </is>
      </c>
      <c r="C21" s="12" t="inlineStr">
        <is>
          <t>Such Great Heights</t>
        </is>
      </c>
      <c r="D21" s="12" t="inlineStr">
        <is>
          <t>The Postal Service</t>
        </is>
      </c>
      <c r="E21" s="12" t="inlineStr">
        <is>
          <t>2003</t>
        </is>
      </c>
      <c r="F21" s="12" t="inlineStr">
        <is>
          <t>弟が中学生のときに見つけて、家の車でよく流していた曲（同じ太平洋岸北西部・シアトルのレーベルから出た 1 枚）。粒の細かい打ち込みの刻みの上で、日常の言葉をまっすぐ歌う温度を借りたい。</t>
        </is>
      </c>
      <c r="G21" s="12" t="inlineStr">
        <is>
          <t>instruments、worldview</t>
        </is>
      </c>
      <c r="H21" s="13" t="inlineStr"/>
      <c r="I21" s="13" t="inlineStr"/>
    </row>
    <row r="22">
      <c r="A22" s="37" t="inlineStr">
        <is>
          <t>nao_easterly</t>
        </is>
      </c>
      <c r="B22" s="13" t="inlineStr">
        <is>
          <t>採用</t>
        </is>
      </c>
      <c r="C22" s="12" t="inlineStr">
        <is>
          <t>Be Sweet</t>
        </is>
      </c>
      <c r="D22" s="12" t="inlineStr">
        <is>
          <t>Japanese Breakfast</t>
        </is>
      </c>
      <c r="E22" s="12" t="inlineStr">
        <is>
          <t>2021</t>
        </is>
      </c>
      <c r="F22" s="12" t="inlineStr">
        <is>
          <t>同じオレゴン州（ユージーン）で育ち、アジア系の母を持つ人の曲として自分と重ねて聴いた。2021 年のパン屋の仕込みの時間に繰り返し流していた。弾むベースと 80 年代風のシンセの明るさ、親しみやすいサビの言葉の置き方を借りたい。</t>
        </is>
      </c>
      <c r="G22" s="12" t="inlineStr">
        <is>
          <t>groove、phrase</t>
        </is>
      </c>
      <c r="H22" s="13" t="inlineStr"/>
      <c r="I22" s="13" t="inlineStr"/>
    </row>
    <row r="23">
      <c r="A23" s="37" t="inlineStr">
        <is>
          <t>nao_easterly</t>
        </is>
      </c>
      <c r="B23" s="13" t="inlineStr">
        <is>
          <t>採用</t>
        </is>
      </c>
      <c r="C23" s="12" t="inlineStr">
        <is>
          <t>光</t>
        </is>
      </c>
      <c r="D23" s="12" t="inlineStr">
        <is>
          <t>宇多田ヒカル</t>
        </is>
      </c>
      <c r="E23" s="12" t="inlineStr">
        <is>
          <t>2002</t>
        </is>
      </c>
      <c r="F23" s="12" t="inlineStr">
        <is>
          <t>自分が生まれた 2002 年 3 月 20 日に発売された曲だと母に教わり、函館で暮らした 10 歳のころによく聴いた（少し意外な 1 曲）。軽く跳ねる打ち込みの上で、澄んだ声が淡々と言葉の粒をそろえて進む歌い方を借りたい。</t>
        </is>
      </c>
      <c r="G23" s="12" t="inlineStr">
        <is>
          <t>vocal、phrase</t>
        </is>
      </c>
      <c r="H23" s="13" t="inlineStr"/>
      <c r="I23" s="13" t="inlineStr"/>
    </row>
    <row r="24">
      <c r="A24" s="37" t="inlineStr">
        <is>
          <t>nao_easterly</t>
        </is>
      </c>
      <c r="B24" s="13" t="inlineStr">
        <is>
          <t>採用</t>
        </is>
      </c>
      <c r="C24" s="12" t="inlineStr">
        <is>
          <t>Wichita Lineman</t>
        </is>
      </c>
      <c r="D24" s="12" t="inlineStr">
        <is>
          <t>Glen Campbell</t>
        </is>
      </c>
      <c r="E24" s="12" t="inlineStr">
        <is>
          <t>1968</t>
        </is>
      </c>
      <c r="F24" s="12" t="inlineStr">
        <is>
          <t>父がいちばん好きな曲で、一人で道を走りながら働く郡の電線工の歌を、父は「自分の仕事の歌だ」と言う（ジャンルの違う意外な 1 曲）。働く人の一人の視点で、仕事の具体物と気持ちを短い言葉で並べる書き方を借りたい。</t>
        </is>
      </c>
      <c r="G24" s="12" t="inlineStr">
        <is>
          <t>lyrics、worldview</t>
        </is>
      </c>
      <c r="H24" s="13" t="inlineStr"/>
      <c r="I24" s="13" t="inlineStr"/>
    </row>
    <row r="25">
      <c r="A25" s="38" t="inlineStr">
        <is>
          <t>soft_cantilever</t>
        </is>
      </c>
      <c r="B25" s="13" t="inlineStr">
        <is>
          <t>採用</t>
        </is>
      </c>
      <c r="C25" s="12" t="inlineStr">
        <is>
          <t>Ride on Time</t>
        </is>
      </c>
      <c r="D25" s="12" t="inlineStr">
        <is>
          <t>Tatsuro Yamashita</t>
        </is>
      </c>
      <c r="E25" s="12" t="inlineStr">
        <is>
          <t>1980</t>
        </is>
      </c>
      <c r="F25" s="12" t="inlineStr">
        <is>
          <t>2017 年にビアが 80 年代の日本の都会の音楽を掘っていて見つけ、製図室で 3 人が初めて『昼のハイウェイの音』として共有した曲。跳ねるベースとカッティングギターの組み方を借りたい。</t>
        </is>
      </c>
      <c r="G25" s="12" t="inlineStr">
        <is>
          <t>groove、instruments、structure</t>
        </is>
      </c>
      <c r="H25" s="13" t="inlineStr"/>
      <c r="I25" s="13" t="inlineStr"/>
    </row>
    <row r="26">
      <c r="A26" s="38" t="inlineStr">
        <is>
          <t>soft_cantilever</t>
        </is>
      </c>
      <c r="B26" s="13" t="inlineStr">
        <is>
          <t>採用</t>
        </is>
      </c>
      <c r="C26" s="12" t="inlineStr">
        <is>
          <t>Peg</t>
        </is>
      </c>
      <c r="D26" s="12" t="inlineStr">
        <is>
          <t>Steely Dan</t>
        </is>
      </c>
      <c r="E26" s="12" t="inlineStr">
        <is>
          <t>1977</t>
        </is>
      </c>
      <c r="F26" s="12" t="inlineStr">
        <is>
          <t>キノの父のワゴン車の CD 入れにあった曲で、シドニーへの家族旅行で何度も聴いた。凝ったコードを明るく聴かせる和声とコーラスの重ね方を学びたい。</t>
        </is>
      </c>
      <c r="G26" s="12" t="inlineStr">
        <is>
          <t>harmony、vocal</t>
        </is>
      </c>
      <c r="H26" s="13" t="inlineStr"/>
      <c r="I26" s="13" t="inlineStr"/>
    </row>
    <row r="27">
      <c r="A27" s="38" t="inlineStr">
        <is>
          <t>soft_cantilever</t>
        </is>
      </c>
      <c r="B27" s="13" t="inlineStr">
        <is>
          <t>採用</t>
        </is>
      </c>
      <c r="C27" s="12" t="inlineStr">
        <is>
          <t>1901</t>
        </is>
      </c>
      <c r="D27" s="12" t="inlineStr">
        <is>
          <t>Phoenix</t>
        </is>
      </c>
      <c r="E27" s="12" t="inlineStr">
        <is>
          <t>2009</t>
        </is>
      </c>
      <c r="F27" s="12" t="inlineStr">
        <is>
          <t>キノが中等学校 2 年の 2012 年にギターを始めたころ、いとこの部屋で何度もコピーした曲。短く切るボーカルのフレーズと、跳ねるギターのリフ。</t>
        </is>
      </c>
      <c r="G27" s="12" t="inlineStr">
        <is>
          <t>phrase、instruments、performance</t>
        </is>
      </c>
      <c r="H27" s="13" t="inlineStr"/>
      <c r="I27" s="13" t="inlineStr"/>
    </row>
    <row r="28">
      <c r="A28" s="38" t="inlineStr">
        <is>
          <t>soft_cantilever</t>
        </is>
      </c>
      <c r="B28" s="13" t="inlineStr">
        <is>
          <t>採用</t>
        </is>
      </c>
      <c r="C28" s="12" t="inlineStr">
        <is>
          <t>The Less I Know the Better</t>
        </is>
      </c>
      <c r="D28" s="12" t="inlineStr">
        <is>
          <t>Tame Impala</t>
        </is>
      </c>
      <c r="E28" s="12" t="inlineStr">
        <is>
          <t>2015</t>
        </is>
      </c>
      <c r="F28" s="12" t="inlineStr">
        <is>
          <t>2017 年の製図室でいちばん流れていたオーストラリアのバンドの曲。ビアが歌うようなベースラインの手本にしている。</t>
        </is>
      </c>
      <c r="G28" s="12" t="inlineStr">
        <is>
          <t>groove、instruments</t>
        </is>
      </c>
      <c r="H28" s="13" t="inlineStr"/>
      <c r="I28" s="13" t="inlineStr"/>
    </row>
    <row r="29">
      <c r="A29" s="38" t="inlineStr">
        <is>
          <t>soft_cantilever</t>
        </is>
      </c>
      <c r="B29" s="13" t="inlineStr">
        <is>
          <t>採用</t>
        </is>
      </c>
      <c r="C29" s="12" t="inlineStr">
        <is>
          <t>Harmony Hall</t>
        </is>
      </c>
      <c r="D29" s="12" t="inlineStr">
        <is>
          <t>Vampire Weekend</t>
        </is>
      </c>
      <c r="E29" s="12" t="inlineStr">
        <is>
          <t>2019</t>
        </is>
      </c>
      <c r="F29" s="12" t="inlineStr">
        <is>
          <t>屋上ライブを続けていた 2019 年に出て、3 人で車で何度も聴いた。明るい音で苦い言葉を歌う書き方と、軽いピアノとギターの重ね方。</t>
        </is>
      </c>
      <c r="G29" s="12" t="inlineStr">
        <is>
          <t>lyrics、worldview、structure</t>
        </is>
      </c>
      <c r="H29" s="13" t="inlineStr"/>
      <c r="I29" s="13" t="inlineStr"/>
    </row>
    <row r="30">
      <c r="A30" s="38" t="inlineStr">
        <is>
          <t>soft_cantilever</t>
        </is>
      </c>
      <c r="B30" s="13" t="inlineStr">
        <is>
          <t>採用</t>
        </is>
      </c>
      <c r="C30" s="12" t="inlineStr">
        <is>
          <t>I Can't Go for That (No Can Do)</t>
        </is>
      </c>
      <c r="D30" s="12" t="inlineStr">
        <is>
          <t>Daryl Hall &amp; John Oates</t>
        </is>
      </c>
      <c r="E30" s="12" t="inlineStr">
        <is>
          <t>1981</t>
        </is>
      </c>
      <c r="F30" s="12" t="inlineStr">
        <is>
          <t>タヴが『少ない音数で揺れるグルーヴ』の研究として持ち込んだ曲。ドラムとベースの隙間に男性の声が座る感じを借りたい。</t>
        </is>
      </c>
      <c r="G30" s="12" t="inlineStr">
        <is>
          <t>groove、vocal</t>
        </is>
      </c>
      <c r="H30" s="13" t="inlineStr"/>
      <c r="I30" s="13" t="inlineStr"/>
    </row>
    <row r="31">
      <c r="A31" s="38" t="inlineStr">
        <is>
          <t>soft_cantilever</t>
        </is>
      </c>
      <c r="B31" s="13" t="inlineStr">
        <is>
          <t>採用</t>
        </is>
      </c>
      <c r="C31" s="12" t="inlineStr">
        <is>
          <t>Streets of Your Town</t>
        </is>
      </c>
      <c r="D31" s="12" t="inlineStr">
        <is>
          <t>The Go-Betweens</t>
        </is>
      </c>
      <c r="E31" s="12" t="inlineStr">
        <is>
          <t>1988</t>
        </is>
      </c>
      <c r="F31" s="12" t="inlineStr">
        <is>
          <t>少し意外な 1 曲。学部の講師が『郊外の歌』の例として授業で流した、オーストラリアの古いギターポップ。晴れた音の裏に街の影を書く歌詞と、男性の歌に女性のコーラスが寄り添う質感。</t>
        </is>
      </c>
      <c r="G31" s="12" t="inlineStr">
        <is>
          <t>lyrics、worldview、vocal</t>
        </is>
      </c>
      <c r="H31" s="13" t="inlineStr"/>
      <c r="I31" s="13" t="inlineStr"/>
    </row>
    <row r="32">
      <c r="A32" s="39" t="inlineStr">
        <is>
          <t>tidewool</t>
        </is>
      </c>
      <c r="B32" s="13" t="inlineStr">
        <is>
          <t>採用</t>
        </is>
      </c>
      <c r="C32" s="12" t="inlineStr">
        <is>
          <t>Fisherman's Blues</t>
        </is>
      </c>
      <c r="D32" s="12" t="inlineStr">
        <is>
          <t>The Waterboys</t>
        </is>
      </c>
      <c r="E32" s="12" t="inlineStr">
        <is>
          <t>1988</t>
        </is>
      </c>
      <c r="F32" s="12" t="inlineStr">
        <is>
          <t>ゲシンの父が作業場のラジカセで繰り返しかけていた曲。フィドルとマンドリンが波のように前へ進む推進力と、海の仕事への憧れを素直に歌う言葉を借りたい。</t>
        </is>
      </c>
      <c r="G32" s="12" t="inlineStr">
        <is>
          <t>instruments、groove、worldview</t>
        </is>
      </c>
      <c r="H32" s="13" t="inlineStr"/>
      <c r="I32" s="13" t="inlineStr"/>
    </row>
    <row r="33">
      <c r="A33" s="39" t="inlineStr">
        <is>
          <t>tidewool</t>
        </is>
      </c>
      <c r="B33" s="13" t="inlineStr">
        <is>
          <t>採用</t>
        </is>
      </c>
      <c r="C33" s="12" t="inlineStr">
        <is>
          <t>Weather With You</t>
        </is>
      </c>
      <c r="D33" s="12" t="inlineStr">
        <is>
          <t>Crowded House</t>
        </is>
      </c>
      <c r="E33" s="12" t="inlineStr">
        <is>
          <t>1991</t>
        </is>
      </c>
      <c r="F33" s="12" t="inlineStr">
        <is>
          <t>アイラの父が牧場の砂利道で車のカセットに入れていたアルバムの 1 曲（アルバム 1991 年・シングル 1992 年）。天気を気持ちの比喩に使いながら重くせず、軽く歌い流す声の重ね方を借りたい。</t>
        </is>
      </c>
      <c r="G33" s="12" t="inlineStr">
        <is>
          <t>harmony、lyrics、vocal</t>
        </is>
      </c>
      <c r="H33" s="13" t="inlineStr"/>
      <c r="I33" s="13" t="inlineStr"/>
    </row>
    <row r="34">
      <c r="A34" s="39" t="inlineStr">
        <is>
          <t>tidewool</t>
        </is>
      </c>
      <c r="B34" s="13" t="inlineStr">
        <is>
          <t>採用</t>
        </is>
      </c>
      <c r="C34" s="12" t="inlineStr">
        <is>
          <t>Into the Mystic</t>
        </is>
      </c>
      <c r="D34" s="12" t="inlineStr">
        <is>
          <t>Van Morrison</t>
        </is>
      </c>
      <c r="E34" s="12" t="inlineStr">
        <is>
          <t>1970</t>
        </is>
      </c>
      <c r="F34" s="12" t="inlineStr">
        <is>
          <t>霧笛と船出の言葉を、大げさにせず祈りのように運ぶ曲。結婚式の夜に 2 人が台所で踊った曲で、アコースティックギターの揺れとサビへの持ち上げ方を借りたい。</t>
        </is>
      </c>
      <c r="G34" s="12" t="inlineStr">
        <is>
          <t>structure、groove、worldview</t>
        </is>
      </c>
      <c r="H34" s="13" t="inlineStr"/>
      <c r="I34" s="13" t="inlineStr"/>
    </row>
    <row r="35">
      <c r="A35" s="39" t="inlineStr">
        <is>
          <t>tidewool</t>
        </is>
      </c>
      <c r="B35" s="13" t="inlineStr">
        <is>
          <t>採用</t>
        </is>
      </c>
      <c r="C35" s="12" t="inlineStr">
        <is>
          <t>Islands in the Stream</t>
        </is>
      </c>
      <c r="D35" s="12" t="inlineStr">
        <is>
          <t>Kenny Rogers &amp; Dolly Parton</t>
        </is>
      </c>
      <c r="E35" s="12" t="inlineStr">
        <is>
          <t>1983</t>
        </is>
      </c>
      <c r="F35" s="12" t="inlineStr">
        <is>
          <t>少し意外な 1 曲。マーケットで冗談半分にカバーしたら一番人が集まった、男女デュエットの手本。1 行ずつ声を渡し合う掛け合いと、サビで 2 人が合流する作り方を借りたい。</t>
        </is>
      </c>
      <c r="G35" s="12" t="inlineStr">
        <is>
          <t>structure、vocal、phrase</t>
        </is>
      </c>
      <c r="H35" s="13" t="inlineStr"/>
      <c r="I35" s="13" t="inlineStr"/>
    </row>
    <row r="36">
      <c r="A36" s="39" t="inlineStr">
        <is>
          <t>tidewool</t>
        </is>
      </c>
      <c r="B36" s="13" t="inlineStr">
        <is>
          <t>採用</t>
        </is>
      </c>
      <c r="C36" s="12" t="inlineStr">
        <is>
          <t>The Water</t>
        </is>
      </c>
      <c r="D36" s="12" t="inlineStr">
        <is>
          <t>Johnny Flynn feat. Laura Marling</t>
        </is>
      </c>
      <c r="E36" s="12" t="inlineStr">
        <is>
          <t>2010</t>
        </is>
      </c>
      <c r="F36" s="12" t="inlineStr">
        <is>
          <t>ゲシンがペンリンで働き始めた頃に聴いた英国フォークの男女デュエット。弦と持続音の上で 2 人の声が水のように交わる編成と、暗さの中の小さな希望の温度を借りたい。</t>
        </is>
      </c>
      <c r="G36" s="12" t="inlineStr">
        <is>
          <t>harmony、instruments</t>
        </is>
      </c>
      <c r="H36" s="13" t="inlineStr"/>
      <c r="I36" s="13" t="inlineStr"/>
    </row>
    <row r="37">
      <c r="A37" s="39" t="inlineStr">
        <is>
          <t>tidewool</t>
        </is>
      </c>
      <c r="B37" s="13" t="inlineStr">
        <is>
          <t>採用</t>
        </is>
      </c>
      <c r="C37" s="12" t="inlineStr">
        <is>
          <t>Big Jet Plane</t>
        </is>
      </c>
      <c r="D37" s="12" t="inlineStr">
        <is>
          <t>Angus &amp; Julia Stone</t>
        </is>
      </c>
      <c r="E37" s="12" t="inlineStr">
        <is>
          <t>2010</t>
        </is>
      </c>
      <c r="F37" s="12" t="inlineStr">
        <is>
          <t>アイラがダニーデンの大学のフラットで何度も流した、南半球の男女デュオの曲。気だるい中音の歌い口と、指弾きの反復のゆるさを借りたい。</t>
        </is>
      </c>
      <c r="G37" s="12" t="inlineStr">
        <is>
          <t>vocal、groove、phrase</t>
        </is>
      </c>
      <c r="H37" s="13" t="inlineStr"/>
      <c r="I37" s="13" t="inlineStr"/>
    </row>
    <row r="38">
      <c r="A38" s="39" t="inlineStr">
        <is>
          <t>tidewool</t>
        </is>
      </c>
      <c r="B38" s="13" t="inlineStr">
        <is>
          <t>採用</t>
        </is>
      </c>
      <c r="C38" s="12" t="inlineStr">
        <is>
          <t>Fade Into You</t>
        </is>
      </c>
      <c r="D38" s="12" t="inlineStr">
        <is>
          <t>Mazzy Star</t>
        </is>
      </c>
      <c r="E38" s="12" t="inlineStr">
        <is>
          <t>1993</t>
        </is>
      </c>
      <c r="F38" s="12" t="inlineStr">
        <is>
          <t>もう 1 つの意外な候補。雨の夜にゲシンが運転しながら聴く曲。遅いテンポでも止まって聞こえない空気の多い音像と、スライドギターの残響の置き方を借りたい。</t>
        </is>
      </c>
      <c r="G38" s="12" t="inlineStr">
        <is>
          <t>instruments、worldview</t>
        </is>
      </c>
      <c r="H38" s="13" t="inlineStr"/>
      <c r="I38" s="13" t="inlineStr"/>
    </row>
  </sheetData>
  <autoFilter ref="A1:I38"/>
  <conditionalFormatting sqref="B2:B537">
    <cfRule type="cellIs" priority="1" operator="equal" dxfId="0">
      <formula>"提案"</formula>
    </cfRule>
    <cfRule type="cellIs" priority="2" operator="equal" dxfId="1">
      <formula>"採用"</formula>
    </cfRule>
    <cfRule type="cellIs" priority="3" operator="equal" dxfId="2">
      <formula>"保留"</formula>
    </cfRule>
    <cfRule type="cellIs" priority="4" operator="equal" dxfId="3">
      <formula>"却下"</formula>
    </cfRule>
    <cfRule type="cellIs" priority="5" operator="equal" dxfId="4">
      <formula>"反映済み"</formula>
    </cfRule>
  </conditionalFormatting>
  <conditionalFormatting sqref="A2:I537">
    <cfRule type="expression" priority="6" dxfId="5">
      <formula>$B2="却下"</formula>
    </cfRule>
  </conditionalFormatting>
  <conditionalFormatting sqref="B2:I537">
    <cfRule type="expression" priority="7" dxfId="6">
      <formula>AND($A2&lt;&gt;"",MOD(ROW(),2)=0)</formula>
    </cfRule>
  </conditionalFormatting>
  <conditionalFormatting sqref="A2:A537">
    <cfRule type="cellIs" priority="8" operator="equal" dxfId="7">
      <formula>"declan_fay"</formula>
    </cfRule>
    <cfRule type="cellIs" priority="9" operator="equal" dxfId="8">
      <formula>"hollowplan"</formula>
    </cfRule>
    <cfRule type="cellIs" priority="10" operator="equal" dxfId="9">
      <formula>"nao_easterly"</formula>
    </cfRule>
    <cfRule type="cellIs" priority="11" operator="equal" dxfId="10">
      <formula>"soft_cantilever"</formula>
    </cfRule>
    <cfRule type="cellIs" priority="12" operator="equal" dxfId="11">
      <formula>"tidewool"</formula>
    </cfRule>
  </conditionalFormatting>
  <dataValidations count="3">
    <dataValidation sqref="H2:H537" showDropDown="0" showInputMessage="0" showErrorMessage="0" allowBlank="1" errorTitle="選べる値" error="一覧から選んでください（空欄も可）" type="list">
      <formula1>"○"</formula1>
    </dataValidation>
    <dataValidation sqref="I2:I537" showDropDown="0" showInputMessage="0" showErrorMessage="0" allowBlank="1" errorTitle="選べる値" error="一覧から選んでください（空欄も可）" type="list">
      <formula1>"○"</formula1>
    </dataValidation>
    <dataValidation sqref="B2:B537" showDropDown="0" showInputMessage="0" showErrorMessage="0" allowBlank="1" errorTitle="選べる値" error="一覧から選んでください（空欄も可）" type="list">
      <formula1>"提案,採用,保留,却下,反映済み"</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6F9A7E"/>
    <outlinePr summaryBelow="1" summaryRight="1"/>
    <pageSetUpPr/>
  </sheetPr>
  <dimension ref="A1:F5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46" customWidth="1" min="2" max="2"/>
    <col width="46" customWidth="1" min="3" max="3"/>
    <col width="46" customWidth="1" min="4" max="4"/>
    <col width="46" customWidth="1" min="5" max="5"/>
    <col width="46" customWidth="1" min="6" max="6"/>
  </cols>
  <sheetData>
    <row r="1" ht="28" customHeight="1">
      <c r="A1" s="40" t="inlineStr">
        <is>
          <t>アーティストID</t>
        </is>
      </c>
      <c r="B1" s="41" t="inlineStr">
        <is>
          <t>declan_fay</t>
        </is>
      </c>
      <c r="C1" s="42" t="inlineStr">
        <is>
          <t>hollowplan</t>
        </is>
      </c>
      <c r="D1" s="43" t="inlineStr">
        <is>
          <t>nao_easterly</t>
        </is>
      </c>
      <c r="E1" s="44" t="inlineStr">
        <is>
          <t>soft_cantilever</t>
        </is>
      </c>
      <c r="F1" s="45" t="inlineStr">
        <is>
          <t>tidewool</t>
        </is>
      </c>
    </row>
    <row r="2">
      <c r="A2" s="46" t="inlineStr">
        <is>
          <t>状態</t>
        </is>
      </c>
      <c r="B2" s="13" t="inlineStr">
        <is>
          <t>採用</t>
        </is>
      </c>
      <c r="C2" s="13" t="inlineStr">
        <is>
          <t>採用</t>
        </is>
      </c>
      <c r="D2" s="13" t="inlineStr">
        <is>
          <t>採用</t>
        </is>
      </c>
      <c r="E2" s="13" t="inlineStr">
        <is>
          <t>採用</t>
        </is>
      </c>
      <c r="F2" s="13" t="inlineStr">
        <is>
          <t>採用</t>
        </is>
      </c>
    </row>
    <row r="3" ht="20" customHeight="1">
      <c r="A3" s="47" t="inlineStr">
        <is>
          <t>■ 声</t>
        </is>
      </c>
      <c r="B3" s="48" t="n"/>
      <c r="C3" s="48" t="n"/>
      <c r="D3" s="48" t="n"/>
      <c r="E3" s="48" t="n"/>
      <c r="F3" s="48" t="n"/>
    </row>
    <row r="4">
      <c r="A4" s="49" t="inlineStr">
        <is>
          <t>声の性別（女性・男性・男女・なし）</t>
        </is>
      </c>
      <c r="B4" s="12" t="inlineStr">
        <is>
          <t>男性</t>
        </is>
      </c>
      <c r="C4" s="12" t="inlineStr">
        <is>
          <t>なし</t>
        </is>
      </c>
      <c r="D4" s="12" t="inlineStr">
        <is>
          <t>女性</t>
        </is>
      </c>
      <c r="E4" s="12" t="inlineStr">
        <is>
          <t>男性</t>
        </is>
      </c>
      <c r="F4" s="12" t="inlineStr">
        <is>
          <t>男女</t>
        </is>
      </c>
    </row>
    <row r="5">
      <c r="A5" s="49" t="inlineStr">
        <is>
          <t>声域（高・中・低）</t>
        </is>
      </c>
      <c r="B5" s="12" t="inlineStr">
        <is>
          <t>低</t>
        </is>
      </c>
      <c r="C5" s="12" t="inlineStr">
        <is>
          <t>中</t>
        </is>
      </c>
      <c r="D5" s="12" t="inlineStr">
        <is>
          <t>高</t>
        </is>
      </c>
      <c r="E5" s="12" t="inlineStr">
        <is>
          <t>中</t>
        </is>
      </c>
      <c r="F5" s="12" t="inlineStr">
        <is>
          <t>中</t>
        </is>
      </c>
    </row>
    <row r="6">
      <c r="A6" s="49" t="inlineStr">
        <is>
          <t>声質を固定</t>
        </is>
      </c>
      <c r="B6" s="13" t="inlineStr">
        <is>
          <t>○</t>
        </is>
      </c>
      <c r="C6" s="13" t="inlineStr"/>
      <c r="D6" s="13" t="inlineStr">
        <is>
          <t>○</t>
        </is>
      </c>
      <c r="E6" s="13" t="inlineStr">
        <is>
          <t>○</t>
        </is>
      </c>
      <c r="F6" s="13" t="inlineStr">
        <is>
          <t>○</t>
        </is>
      </c>
    </row>
    <row r="7">
      <c r="A7" s="49" t="inlineStr">
        <is>
          <t>楽に出る一番下</t>
        </is>
      </c>
      <c r="B7" s="12" t="inlineStr">
        <is>
          <t>F2（語りなら E2 まで）</t>
        </is>
      </c>
      <c r="C7" s="12" t="inlineStr">
        <is>
          <t>E3（息まじりのハミング。それより下はピッチを下げる加工で作る）</t>
        </is>
      </c>
      <c r="D7" s="12" t="inlineStr">
        <is>
          <t>G3</t>
        </is>
      </c>
      <c r="E7" s="12" t="inlineStr">
        <is>
          <t>B2</t>
        </is>
      </c>
      <c r="F7" s="12" t="inlineStr">
        <is>
          <t>女性 G3／男性 A2</t>
        </is>
      </c>
    </row>
    <row r="8">
      <c r="A8" s="49" t="inlineStr">
        <is>
          <t>楽に出る一番上</t>
        </is>
      </c>
      <c r="B8" s="12" t="inlineStr">
        <is>
          <t>C4</t>
        </is>
      </c>
      <c r="C8" s="12" t="inlineStr">
        <is>
          <t>C5（裏声の ooh。切れ端としてのみ）</t>
        </is>
      </c>
      <c r="D8" s="12" t="inlineStr">
        <is>
          <t>F5</t>
        </is>
      </c>
      <c r="E8" s="12" t="inlineStr">
        <is>
          <t>F#4</t>
        </is>
      </c>
      <c r="F8" s="12" t="inlineStr">
        <is>
          <t>女性 D5／男性 A4</t>
        </is>
      </c>
    </row>
    <row r="9">
      <c r="A9" s="49" t="inlineStr">
        <is>
          <t>地声の上限</t>
        </is>
      </c>
      <c r="B9" s="12" t="inlineStr">
        <is>
          <t>E♭4</t>
        </is>
      </c>
      <c r="C9" s="12" t="inlineStr">
        <is>
          <t>G4</t>
        </is>
      </c>
      <c r="D9" s="12" t="inlineStr">
        <is>
          <t>C5</t>
        </is>
      </c>
      <c r="E9" s="12" t="inlineStr">
        <is>
          <t>A4</t>
        </is>
      </c>
      <c r="F9" s="12" t="inlineStr">
        <is>
          <t>女性 B4／男性 F#4</t>
        </is>
      </c>
    </row>
    <row r="10">
      <c r="A10" s="49" t="inlineStr">
        <is>
          <t>裏声に切り替わる音</t>
        </is>
      </c>
      <c r="B10" s="12" t="inlineStr">
        <is>
          <t>E4</t>
        </is>
      </c>
      <c r="C10" s="12" t="inlineStr">
        <is>
          <t>A4 前後で裏声へ</t>
        </is>
      </c>
      <c r="D10" s="12" t="inlineStr">
        <is>
          <t>C#5</t>
        </is>
      </c>
      <c r="E10" s="12" t="inlineStr">
        <is>
          <t>A4〜B♭4</t>
        </is>
      </c>
      <c r="F10" s="12" t="inlineStr">
        <is>
          <t>女性は C5 から頭声寄りの裏声／男性は G4 から裏声</t>
        </is>
      </c>
    </row>
    <row r="11">
      <c r="A11" s="49" t="inlineStr">
        <is>
          <t>裏声の質</t>
        </is>
      </c>
      <c r="B11" s="12" t="inlineStr">
        <is>
          <t>細く息の多い裏声。張らずに柔らかく、1 曲に 1 回だけ短く使う</t>
        </is>
      </c>
      <c r="C11" s="12" t="inlineStr">
        <is>
          <t>細く息の多い裏声。ビブラートは無し。母音は oo と ah だけで、1〜2 拍で切る。</t>
        </is>
      </c>
      <c r="D11" s="12" t="inlineStr">
        <is>
          <t>細く明るい裏声。息は少なめで芯が残り、頂点で短く使う</t>
        </is>
      </c>
      <c r="E11" s="12" t="inlineStr">
        <is>
          <t>息を少し混ぜた柔らかく明るい裏声。D5 まで。女性のハモりの上に重ねる 1 音か、短いフックだけに使う。</t>
        </is>
      </c>
      <c r="F11" s="12" t="inlineStr">
        <is>
          <t>女性は息の多い細い裏声で、語尾にだけ使う。男性の裏声は柔らかく少しかすれ、サビ後半の ooh にだけ使う。</t>
        </is>
      </c>
    </row>
    <row r="12">
      <c r="A12" s="49" t="inlineStr">
        <is>
          <t>声の強み</t>
        </is>
      </c>
      <c r="B12" s="12" t="inlineStr">
        <is>
          <t>低音の胸の響きと、マイクに近い距離の温かさ。小さな声量で言葉がはっきり届き、語りから歌へ継ぎ目なく移れる。</t>
        </is>
      </c>
      <c r="C12" s="12" t="inlineStr">
        <is>
          <t>息の音そのものがリズムになる。ハミングの m の柔らかい中低音が、キックとベースの間にすっと収まる。</t>
        </is>
      </c>
      <c r="D12" s="12" t="inlineStr">
        <is>
          <t>子音（t・k・d）の輪郭が立ち、運転中でも歌詞が聞き取れる。A4〜C5 の地声が明るく、伸ばしても揺れない</t>
        </is>
      </c>
      <c r="E12" s="12" t="inlineStr">
        <is>
          <t>D3〜E4 の温かく明るい地声。母音が開いていて言葉が聴き取りやすく、拍の少し後ろに言葉を置く話すようなリズム感。</t>
        </is>
      </c>
      <c r="F12" s="12" t="inlineStr">
        <is>
          <t>2 人の中音の音色が近く、3 度で重ねると 1 本の太い声に聞こえる。子音が柔らかく、近くで話すように言葉が届く。</t>
        </is>
      </c>
    </row>
    <row r="13">
      <c r="A13" s="49" t="inlineStr">
        <is>
          <t>声の弱み</t>
        </is>
      </c>
      <c r="B13" s="12" t="inlineStr">
        <is>
          <t>C4 より上を張ると硬く薄くなる。速い言葉の詰め込みと、明るく弾む歌い方は不得意。</t>
        </is>
      </c>
      <c r="C13" s="12" t="inlineStr">
        <is>
          <t>長く伸ばす音と、言葉をはっきり歌うこと（そもそもしない）。張った強い声は出さない。</t>
        </is>
      </c>
      <c r="D13" s="12" t="inlineStr">
        <is>
          <t>A3 より下は息が多くなって薄い。湿った歌い回しや、こぶしのような装飾は苦手</t>
        </is>
      </c>
      <c r="E13" s="12" t="inlineStr">
        <is>
          <t>高音を長く張るロングトーンと、大声のシャウト。A2 より下は息っぽく痩せる。</t>
        </is>
      </c>
      <c r="F13" s="12" t="inlineStr">
        <is>
          <t>張り上げた高音は硬くなる。2 人とも声量が小さめで、厚い編成に埋もれやすい。</t>
        </is>
      </c>
    </row>
    <row r="14" ht="20" customHeight="1">
      <c r="A14" s="47" t="inlineStr">
        <is>
          <t>■ 歌い方</t>
        </is>
      </c>
      <c r="B14" s="48" t="n"/>
      <c r="C14" s="48" t="n"/>
      <c r="D14" s="48" t="n"/>
      <c r="E14" s="48" t="n"/>
      <c r="F14" s="48" t="n"/>
    </row>
    <row r="15">
      <c r="A15" s="49" t="inlineStr">
        <is>
          <t>一番得意な歌い方</t>
        </is>
      </c>
      <c r="B15" s="12" t="inlineStr">
        <is>
          <t>マイクに近い語るような歌（クルーナー寄り）。言葉を拍の少し後ろに置き、語尾を下げて落とす</t>
        </is>
      </c>
      <c r="C15" s="12" t="inlineStr">
        <is>
          <t>声の切れ端（ボーカルチョップ）：息・ハミング・1〜3 語の英語を 1 拍ずつ切り、ピッチを変えて旋律の代わりに並べる。</t>
        </is>
      </c>
      <c r="D15" s="12" t="inlineStr">
        <is>
          <t>子音を拍の頭に置いた歯切れのよい地声。言葉を 1 音ずつはっきり置く</t>
        </is>
      </c>
      <c r="E15" s="12" t="inlineStr">
        <is>
          <t>拍の少し後ろに言葉を置く、話すような歌い方（16 分のシンコペーションで子音を軽く刻む）</t>
        </is>
      </c>
      <c r="F15" s="12" t="inlineStr">
        <is>
          <t>男女の 3 度ハーモニー（女性が上・男性が下）を、マイクに近い小さな声で歌う。</t>
        </is>
      </c>
    </row>
    <row r="16">
      <c r="A16" s="49" t="inlineStr">
        <is>
          <t>ほかの得意技</t>
        </is>
      </c>
      <c r="B16" s="12" t="inlineStr">
        <is>
          <t>2〜4 小節のスポークンワード（語り）、サビ最後の行のオクターブ下のダブル、閉じた口の低いハミング、息を混ぜたささやき（A メロの頭）</t>
        </is>
      </c>
      <c r="C16" s="12" t="inlineStr">
        <is>
          <t>吸う息を打楽器として使う、ハミングを 1 オクターブ下げてパッドに重ねる、フィルターで声の切れ端を開いたり閉じたりする、リミックスでは相手の声から 1 語だけ借りる</t>
        </is>
      </c>
      <c r="D16" s="12" t="inlineStr">
        <is>
          <t>サビ最後の語を裏声へ短く跳ね上げる、自分の声で 3 度上のハモりを 1 本重ねる、語尾をビブラートなしで短く切る</t>
        </is>
      </c>
      <c r="E16" s="12" t="inlineStr">
        <is>
          <t>サビで女性ボーカルが 3 度上で重なる二声のハモり、2 番の A メロだけ女性が 1 オクターブ上でユニゾン、1 音だけ裏声に跳ね上げる短いフック、女性が短い言葉を返すコール＆レスポンス</t>
        </is>
      </c>
      <c r="F16" s="12" t="inlineStr">
        <is>
          <t>ユニゾンからハモりへ開く入り方、1 行ずつ交互に歌う掛け合い、語尾を息で抜く柔らかい終わり方、ハミング（mm）の下支え</t>
        </is>
      </c>
    </row>
    <row r="17">
      <c r="A17" s="49" t="inlineStr">
        <is>
          <t>避ける歌い方</t>
        </is>
      </c>
      <c r="B17" s="12" t="inlineStr">
        <is>
          <t>シャウト、ベルティング、速く深いビブラート、強いオートチューン、ラップ、がなり声</t>
        </is>
      </c>
      <c r="C17" s="12" t="inlineStr">
        <is>
          <t>文章になった歌、ラップ、機械的なピッチ補正のかかった声、早回しで甲高くした声、叫ぶ・張り上げる</t>
        </is>
      </c>
      <c r="D17" s="12" t="inlineStr">
        <is>
          <t>ウィスパー、がなり・シャウト、R&amp;B 風の装飾フェイク、しゃくり上げ、強いピッチ補正の効果</t>
        </is>
      </c>
      <c r="E17" s="12" t="inlineStr">
        <is>
          <t>シャウトやがなり、深いビブラート、ボーカルのケロケロしたピッチ補正の効果、囁くようなウィスパー</t>
        </is>
      </c>
      <c r="F17" s="12" t="inlineStr">
        <is>
          <t>ベルティング（張り上げ）、深すぎるビブラート、音程補正の効果を目立たせること、ゴスペル風のフェイクの連続</t>
        </is>
      </c>
    </row>
    <row r="18">
      <c r="A18" s="49" t="inlineStr">
        <is>
          <t>言葉のないパート</t>
        </is>
      </c>
      <c r="B18" s="12" t="inlineStr">
        <is>
          <t>閉じた口の低いハミング（mm）をオクターブ下と重ねる。口を開いた ooh や la-la は使わない</t>
        </is>
      </c>
      <c r="C18" s="12" t="inlineStr">
        <is>
          <t>声は言葉にしない。息（吸う／吐く）、ハミングの m、母音の oo と ah、曲名から取った 1〜3 語の英語の切れ端だけ。切れ端は 1〜2 拍で切り、ピッチを変えて楽器のように並べる。</t>
        </is>
      </c>
      <c r="D18" s="12" t="inlineStr">
        <is>
          <t>地声の明るい「ah」を 2 音（5 度上がる）で区切って重ねる。囁きや長いハミングは使わない</t>
        </is>
      </c>
      <c r="E18" s="12" t="inlineStr">
        <is>
          <t>男性の "ooh" と女性の "ba-da-da" が 3 度で重なる短いスキャット（イントロの 4 小節目とアウトロ）</t>
        </is>
      </c>
      <c r="F18" s="12" t="inlineStr">
        <is>
          <t>ooh と mm のハミング。2 人で 3 度に重ね、イントロ・間奏・アウトロに使う。大人数の掛け声の合唱にはしない。</t>
        </is>
      </c>
    </row>
    <row r="19">
      <c r="A19" s="49" t="inlineStr">
        <is>
          <t>客演するときの声の説明</t>
        </is>
      </c>
      <c r="B19" s="12" t="inlineStr">
        <is>
          <t>低く温かい男性バリトン。マイクに近く語るように歌い、語尾を静かに落とす。アイルランド南部の柔らかい訛りがわずかに残り、息が多く、決して張らない。</t>
        </is>
      </c>
      <c r="C19" s="12" t="inlineStr">
        <is>
          <t>他の組の曲に客演するときは歌わない。相手の曲の後ろに、息とハミングの切れ端を 2〜3 か所だけ置く。リミックスでは相手の声から 1 語と 1 つの息を借り、元の曲の場面の音（朝の光・街灯・ハイウェイ・雨）を 1 つ残す。</t>
        </is>
      </c>
      <c r="D19" s="12" t="inlineStr">
        <is>
          <t>澄んだ高めの女性ボイス。子音がはっきりしていて、明るい地声で言葉を 1 音ずつ置く。裏声は頂点だけ短く使い、息は少なめ</t>
        </is>
      </c>
      <c r="E19" s="12" t="inlineStr">
        <is>
          <t>温かく明るい男性の中音。言葉を拍の少し後ろに置いて話すように歌い、サビでは女性の 3 度上のハモりが付く。</t>
        </is>
      </c>
      <c r="F19" s="12" t="inlineStr">
        <is>
          <t>客演では 2 人そろって相手の後ろのハモりに回る。片方だけのときは、アイラは中音域の上ハモ、ゲシンは下ハモと ooh の下支え。</t>
        </is>
      </c>
    </row>
    <row r="20" ht="20" customHeight="1">
      <c r="A20" s="47" t="inlineStr">
        <is>
          <t>■ 毎曲の癖</t>
        </is>
      </c>
      <c r="B20" s="48" t="n"/>
      <c r="C20" s="48" t="n"/>
      <c r="D20" s="48" t="n"/>
      <c r="E20" s="48" t="n"/>
      <c r="F20" s="48" t="n"/>
    </row>
    <row r="21">
      <c r="A21" s="49" t="inlineStr">
        <is>
          <t>毎曲の癖1</t>
        </is>
      </c>
      <c r="B21" s="12" t="inlineStr">
        <is>
          <t>1 番の前に 2 小節の語りで時刻と場所を言う（[Spoken Word] 例：Three-twelve. Gardiner, eastbound.）</t>
        </is>
      </c>
      <c r="C21" s="12" t="inlineStr">
        <is>
          <t>吸う息のサンプル（[breath]）を 4 拍目の裏に置き、2 小節ごとに鳴らす。曲の最初の音と最後の音は必ず息。</t>
        </is>
      </c>
      <c r="D21" s="12" t="inlineStr">
        <is>
          <t>サビ直後に地声の「ah-ah」を 5 度上がる 2 音で 4 回刻む（[Post-Chorus: bright 'ah-ah' chant]）</t>
        </is>
      </c>
      <c r="E21" s="12" t="inlineStr">
        <is>
          <t>女性ボーカルだけが 2〜3 語の短い言葉を先に歌い、男性リードがそれを受けてサビに入る</t>
        </is>
      </c>
      <c r="F21" s="12" t="inlineStr">
        <is>
          <t>サビ直前の 1 小節で、2 人が mm のハミングを 3 度で重ねる（[Hummed harmony] タグ）。</t>
        </is>
      </c>
    </row>
    <row r="22">
      <c r="A22" s="49" t="inlineStr">
        <is>
          <t>癖1の場所</t>
        </is>
      </c>
      <c r="B22" s="12" t="inlineStr">
        <is>
          <t>イントロの最後（1 番の直前）</t>
        </is>
      </c>
      <c r="C22" s="12" t="inlineStr">
        <is>
          <t>イントロの頭から最後まで（キックの直前の裏拍）</t>
        </is>
      </c>
      <c r="D22" s="12" t="inlineStr">
        <is>
          <t>各サビの直後（ポストコーラス）</t>
        </is>
      </c>
      <c r="E22" s="12" t="inlineStr">
        <is>
          <t>プリコーラスの最後の 1 小節</t>
        </is>
      </c>
      <c r="F22" s="12" t="inlineStr">
        <is>
          <t>プリコーラスの最後の 1 小節</t>
        </is>
      </c>
    </row>
    <row r="23">
      <c r="A23" s="49" t="inlineStr">
        <is>
          <t>毎曲の癖2</t>
        </is>
      </c>
      <c r="B23" s="12" t="inlineStr">
        <is>
          <t>サビの最後の 1 行だけ、1 オクターブ下のダブルを重ねる（[Octave-Low Double]）</t>
        </is>
      </c>
      <c r="C23" s="12" t="inlineStr">
        <is>
          <t>曲名から取った 1〜3 語の声の切れ端を、半音ずつ上げながら 4 回繰り返すフック（[vocal chop hook]）</t>
        </is>
      </c>
      <c r="D23" s="12" t="inlineStr">
        <is>
          <t>サビの最後の語を地声から 3 度上の裏声へ短く跳ね上げる（[flip to falsetto on last word]）</t>
        </is>
      </c>
      <c r="E23" s="12" t="inlineStr">
        <is>
          <t>ベースが 1 オクターブ上へスライドしてから、サビの 1 拍目でルートに戻る</t>
        </is>
      </c>
      <c r="F23" s="12" t="inlineStr">
        <is>
          <t>1 番サビの最後の 1 行だけハモらず、2 人のユニゾンで歌い切る（[Unison vocals] タグ）。</t>
        </is>
      </c>
    </row>
    <row r="24">
      <c r="A24" s="49" t="inlineStr">
        <is>
          <t>癖2の場所</t>
        </is>
      </c>
      <c r="B24" s="12" t="inlineStr">
        <is>
          <t>各サビの最終行</t>
        </is>
      </c>
      <c r="C24" s="12" t="inlineStr">
        <is>
          <t>0:20〜0:30（30 秒以内）と、後半のフック再現</t>
        </is>
      </c>
      <c r="D24" s="12" t="inlineStr">
        <is>
          <t>各サビの最終行の最後の語</t>
        </is>
      </c>
      <c r="E24" s="12" t="inlineStr">
        <is>
          <t>サビに入る直前の 1 拍</t>
        </is>
      </c>
      <c r="F24" s="12" t="inlineStr">
        <is>
          <t>1 番サビの最後の行</t>
        </is>
      </c>
    </row>
    <row r="25">
      <c r="A25" s="49" t="inlineStr">
        <is>
          <t>毎曲の癖3</t>
        </is>
      </c>
      <c r="B25" s="12" t="inlineStr">
        <is>
          <t>最後の 4 小節でテープの回転が少し揺れ（ワウ・フラッター）、ヒスノイズとパッドが残ってフェードアウト（[Tape Wobble Fade]）</t>
        </is>
      </c>
      <c r="C25" s="12" t="inlineStr">
        <is>
          <t>『中庭』の 8 小節：キックとベースをローパスで遠ざけ、エレピのコードと息とシェイカーだけを残す（[filtered breakdown]。無音にはしない）</t>
        </is>
      </c>
      <c r="D25" s="12" t="inlineStr">
        <is>
          <t>ブリッジの 2 行だけ電話越しのような狭い帯域の声で歌う（[Bridge: telephone filter vocal]）</t>
        </is>
      </c>
      <c r="E25" s="12" t="inlineStr">
        <is>
          <t>ギターとベースが同じ 2 小節のリフをユニゾンで弾き、ドラムがキメで合わせる</t>
        </is>
      </c>
      <c r="F25" s="12" t="inlineStr">
        <is>
          <t>アウトロで雨音と木の軋むフィールド録音を薄く重ね、ギターの最後の和音を鳴らしたまま 4〜6 秒でフェードアウト（[Field recording: rain on roof] タグ）。</t>
        </is>
      </c>
    </row>
    <row r="26">
      <c r="A26" s="49" t="inlineStr">
        <is>
          <t>癖3の場所</t>
        </is>
      </c>
      <c r="B26" s="12" t="inlineStr">
        <is>
          <t>アウトロ</t>
        </is>
      </c>
      <c r="C26" s="12" t="inlineStr">
        <is>
          <t>曲のちょうど真ん中（およそ 1:20〜1:40）</t>
        </is>
      </c>
      <c r="D26" s="12" t="inlineStr">
        <is>
          <t>ブリッジ（2 番のサビのあと）</t>
        </is>
      </c>
      <c r="E26" s="12" t="inlineStr">
        <is>
          <t>2 回目のサビのあと・ブリッジの前</t>
        </is>
      </c>
      <c r="F26" s="12" t="inlineStr">
        <is>
          <t>アウトロの最後の 8 小節</t>
        </is>
      </c>
    </row>
    <row r="27" ht="20" customHeight="1">
      <c r="A27" s="47" t="inlineStr">
        <is>
          <t>■ 旋律</t>
        </is>
      </c>
      <c r="B27" s="48" t="n"/>
      <c r="C27" s="48" t="n"/>
      <c r="D27" s="48" t="n"/>
      <c r="E27" s="48" t="n"/>
      <c r="F27" s="48" t="n"/>
    </row>
    <row r="28">
      <c r="A28" s="49" t="inlineStr">
        <is>
          <t>旋律の動き</t>
        </is>
      </c>
      <c r="B28" s="12" t="inlineStr">
        <is>
          <t>A メロは 3 度以内の狭い動きで語るように。プリで 1 音ずつ上がり、サビ頭で 5 度上に跳んでから順に下りて終わる。</t>
        </is>
      </c>
      <c r="C28" s="12" t="inlineStr">
        <is>
          <t>旋律は声の切れ端とエレピの 3 音の動機で作る。順次進行が中心で、跳躍は 4 度まで。2 小節の問いに 2 小節の答えを返す、静かなコールアンドレスポンス。</t>
        </is>
      </c>
      <c r="D28" s="12" t="inlineStr">
        <is>
          <t>A メロは同じ音の連打と 2 度の動きで言葉を運び、プレコーラスで 3 度ずつ上がって、サビ頭で 4 度跳ぶ。下降は少なく、上向きの線が基本</t>
        </is>
      </c>
      <c r="E28" s="12" t="inlineStr">
        <is>
          <t>A メロは同じ音の連打と 2〜3 度の順次進行で、話すように進む。サビの頭で 5 度跳躍して頂点へ。ペンタトニック中心で、サビの終わりだけ 7th の音を通って解決する。</t>
        </is>
      </c>
      <c r="F28" s="12" t="inlineStr">
        <is>
          <t>順次進行が中心。跳躍はサビ頭の 4 度か 5 度の上行 1 回だけ。話すような A メロから、サビで 3 度のハモりがゆるやかな弧を描く。</t>
        </is>
      </c>
    </row>
    <row r="29">
      <c r="A29" s="49" t="inlineStr">
        <is>
          <t>サビの頂点</t>
        </is>
      </c>
      <c r="B29" s="12" t="inlineStr">
        <is>
          <t>C4〜D4 を地声で。張らずに息を混ぜて置く</t>
        </is>
      </c>
      <c r="C29" s="12" t="inlineStr">
        <is>
          <t>頂点は高さではなく密度で作る。フック再現で切れ端の最高音 C5 に 1 回だけ触れる。</t>
        </is>
      </c>
      <c r="D29" s="12" t="inlineStr">
        <is>
          <t>C5 の地声で頂点を取り、各サビの最後の 1 語だけ E5 の裏声に抜ける</t>
        </is>
      </c>
      <c r="E29" s="12" t="inlineStr">
        <is>
          <t>E4〜F#4 の地声で 2 拍伸ばし、女性が 3 度上（G#4〜A4）で重ねる。A4 は曲中で 1 回だけ</t>
        </is>
      </c>
      <c r="F29" s="12" t="inlineStr">
        <is>
          <t>女性 C5・男性 A4 の 3 度（主旋律はアイラ）。張らずに息を混ぜて届かせる。</t>
        </is>
      </c>
    </row>
    <row r="30">
      <c r="A30" s="49" t="inlineStr">
        <is>
          <t>A メロの音域</t>
        </is>
      </c>
      <c r="B30" s="12" t="inlineStr">
        <is>
          <t>G2〜C3 付近</t>
        </is>
      </c>
      <c r="C30" s="12" t="inlineStr">
        <is>
          <t>A3〜E4（ハミングと息の帯域。キックとベースの上にそっと乗る）</t>
        </is>
      </c>
      <c r="D30" s="12" t="inlineStr">
        <is>
          <t>D4〜A4 の明るい中高音。低音には降りない</t>
        </is>
      </c>
      <c r="E30" s="12" t="inlineStr">
        <is>
          <t>C3〜D4</t>
        </is>
      </c>
      <c r="F30" s="12" t="inlineStr">
        <is>
          <t>女性 A3〜G4／男性 B2〜D4。A メロは 1 人ずつ低めに語るように歌う。</t>
        </is>
      </c>
    </row>
    <row r="31">
      <c r="A31" s="49" t="inlineStr">
        <is>
          <t>フレーズの終わり方</t>
        </is>
      </c>
      <c r="B31" s="12" t="inlineStr">
        <is>
          <t>下げて落とす。最後の子音を息で消し、半拍の余韻を残す</t>
        </is>
      </c>
      <c r="C31" s="12" t="inlineStr">
        <is>
          <t>フレーズの終わりは吐く息か、テープが止まるように 2 半音ほどピッチが下がる切れ端で閉じる。ぶつ切りにしない。</t>
        </is>
      </c>
      <c r="D31" s="12" t="inlineStr">
        <is>
          <t>短く切る（ビブラートなし）。サビの最後の語だけ裏声で軽く伸ばす</t>
        </is>
      </c>
      <c r="E31" s="12" t="inlineStr">
        <is>
          <t>語尾は短く切り、最後の子音を軽く残す。サビの最終行だけ 2 拍伸ばしてから 2 度下へ落とす。</t>
        </is>
      </c>
      <c r="F31" s="12" t="inlineStr">
        <is>
          <t>語尾は伸ばしすぎず、息を抜いて少し下がって終わる。行末のハモりは男性が半拍遅れて着地する。</t>
        </is>
      </c>
    </row>
    <row r="32" ht="20" customHeight="1">
      <c r="A32" s="47" t="inlineStr">
        <is>
          <t>■ 音</t>
        </is>
      </c>
      <c r="B32" s="48" t="n"/>
      <c r="C32" s="48" t="n"/>
      <c r="D32" s="48" t="n"/>
      <c r="E32" s="48" t="n"/>
      <c r="F32" s="48" t="n"/>
    </row>
    <row r="33">
      <c r="A33" s="49" t="inlineStr">
        <is>
          <t>ジャンル</t>
        </is>
      </c>
      <c r="B33" s="12" t="inlineStr">
        <is>
          <t>synthwave、night pop、retrowave、sophisti-pop</t>
        </is>
      </c>
      <c r="C33" s="12" t="inlineStr">
        <is>
          <t>house、lo-fi house、deep house、downtempo</t>
        </is>
      </c>
      <c r="D33" s="12" t="inlineStr">
        <is>
          <t>synth-pop、indie pop、electropop</t>
        </is>
      </c>
      <c r="E33" s="12" t="inlineStr">
        <is>
          <t>city pop、indie rock、funk pop、soft rock、jangle pop</t>
        </is>
      </c>
      <c r="F33" s="12" t="inlineStr">
        <is>
          <t>acoustic pop、folk pop、organic、indie folk</t>
        </is>
      </c>
    </row>
    <row r="34">
      <c r="A34" s="49" t="inlineStr">
        <is>
          <t>楽器の色</t>
        </is>
      </c>
      <c r="B34" s="12" t="inlineStr">
        <is>
          <t>温かいアナログ・ポリシンセのパッド（遅い立ち上がりとゆるいコーラスの揺れ）、交互 16 分のアルペジオシンセ、1980 年代のドラムマシンのスネアにゲートリバーブ、丸く太いシンセベース、細く少し硬い 80 年代の安価なポリシンセのベル音（サビの対旋律）、薄いテープヒスとワウ・フラッター、遠くで鳴るコーラスのかかったクリーンギター 1 本、ラジオのチューニングノイズ</t>
        </is>
      </c>
      <c r="C34" s="12" t="inlineStr">
        <is>
          <t>柔らかい四つ打ちキック、1970 年代のエレクトリックピアノ（9th と 11th のコード・弱めの打鍵）、息と声の切れ端（ピッチ変化つき）、丸いサブベース、テープの揺れとかすかなレコードノイズ、工房の実音（カッター・定規・紙やすり・レーザーカッターの換気扇）、フラット弦のこもったクリーンギター（ハイライフ風の 2 音のリフだけ）、16 分で揺れ続けるシェイカーとリムショット</t>
        </is>
      </c>
      <c r="D34" s="12" t="inlineStr">
        <is>
          <t>明るいアナログ風シンセの 8 分アルペジオ、クリーンなエレキギターのミュートカッティング、短く弾むシンセベース、乾いた生っぽいスネアと手拍子、高いベル系のシンセ（サビだけ）</t>
        </is>
      </c>
      <c r="E34" s="12" t="inlineStr">
        <is>
          <t>シングルコイルのエレキギターのクリーンなカッティング（薄いコーラスで少し揺らす）、指弾きのエレキベース（フラットワウンド弦の丸く短い音・ブリッジ側のミュート）、1970 年代のドラムキットと木胴の乾いたスネア（16 分のハイハットと A メロのクロススティック）、柔らかい鐘のようなエレクトリックピアノ（薄く）、1970 年前後の 12 弦アコースティックギター（サビの裏で薄く）、タンバリンとシェイカー</t>
        </is>
      </c>
      <c r="F34" s="12" t="inlineStr">
        <is>
          <t>指弾きのスチール弦アコースティックギター（変則チューニングで開放弦を鳴らし続ける・親指の低音）、小ぶりのマホガニーのギターのやわらかいストローク、足踏みリードオルガンの持続音（5 度のドローン）、アップライトベース、ブラシのスネアとフロアタム、マンドリンの細い刻みと 3 度の重音、チェロ 1 本の長い音、雨と木の軋みのフィールド録音（薄く）</t>
        </is>
      </c>
    </row>
    <row r="35">
      <c r="A35" s="49" t="inlineStr">
        <is>
          <t>BPM 最低</t>
        </is>
      </c>
      <c r="B35" s="13" t="n">
        <v>92</v>
      </c>
      <c r="C35" s="13" t="n">
        <v>100</v>
      </c>
      <c r="D35" s="13" t="n">
        <v>108</v>
      </c>
      <c r="E35" s="13" t="n">
        <v>112</v>
      </c>
      <c r="F35" s="13" t="n">
        <v>84</v>
      </c>
    </row>
    <row r="36">
      <c r="A36" s="49" t="inlineStr">
        <is>
          <t>BPM 最高</t>
        </is>
      </c>
      <c r="B36" s="13" t="n">
        <v>104</v>
      </c>
      <c r="C36" s="13" t="n">
        <v>124</v>
      </c>
      <c r="D36" s="13" t="n">
        <v>120</v>
      </c>
      <c r="E36" s="13" t="n">
        <v>124</v>
      </c>
      <c r="F36" s="13" t="n">
        <v>98</v>
      </c>
    </row>
    <row r="37">
      <c r="A37" s="49" t="inlineStr">
        <is>
          <t>DNA タグ</t>
        </is>
      </c>
      <c r="B37" s="12" t="inlineStr">
        <is>
          <t>warm baritone、tape hiss、gated reverb snare、analog arpeggio、spoken intro、night radio、amber streetlights</t>
        </is>
      </c>
      <c r="C37" s="12" t="inlineStr">
        <is>
          <t>deep house、lo-fi、vocal chops、breath、warm keys、night drive、hypnotic</t>
        </is>
      </c>
      <c r="D37" s="12" t="inlineStr">
        <is>
          <t>sunrise、eastbound、bright synth arpeggio、clear high vocal、motorik pulse、early shift</t>
        </is>
      </c>
      <c r="E37" s="12" t="inlineStr">
        <is>
          <t>sunlit city pop、fingerstyle bass、clean guitar cuts、male lead female harmony、16th-note groove、open highway</t>
        </is>
      </c>
      <c r="F37" s="12" t="inlineStr">
        <is>
          <t>male-female harmony、fingerpicked acoustic guitar、brushed drums、upright bass、harmonium drone、close-mic warm vocals、rain field recording</t>
        </is>
      </c>
    </row>
    <row r="38" ht="20" customHeight="1">
      <c r="A38" s="47" t="inlineStr">
        <is>
          <t>■ 曲の形</t>
        </is>
      </c>
      <c r="B38" s="48" t="n"/>
      <c r="C38" s="48" t="n"/>
      <c r="D38" s="48" t="n"/>
      <c r="E38" s="48" t="n"/>
      <c r="F38" s="48" t="n"/>
    </row>
    <row r="39">
      <c r="A39" s="49" t="inlineStr">
        <is>
          <t>転調</t>
        </is>
      </c>
      <c r="B39" s="12" t="inlineStr">
        <is>
          <t>転調しない。最後のサビで半音上げもしない。代わりにブリッジで同主短調の和音を 1 つ借りて影を作る</t>
        </is>
      </c>
      <c r="C39" s="12" t="inlineStr">
        <is>
          <t>転調しない。終盤の 32 小節前に 1 回だけ、ベースの根音を全音下げて景色を変える（キーはそのまま）。</t>
        </is>
      </c>
      <c r="D39" s="12" t="inlineStr">
        <is>
          <t>転調しない。ラスサビは同じキーのまま、3 度上のハモりを 1 声足して厚くする</t>
        </is>
      </c>
      <c r="E39" s="12" t="inlineStr">
        <is>
          <t>ブリッジだけ 4 度上のキーへ一時的に移り、ベースの下降ラインで元のキーに戻る。ラスサビでの半音上げはしない。</t>
        </is>
      </c>
      <c r="F39" s="12" t="inlineStr">
        <is>
          <t>転調はしない。最後のサビでゲシンがオクターブ下を足して厚みを出す（キーはそのまま）。キーは D・G・A など開放弦がよく鳴る調。</t>
        </is>
      </c>
    </row>
    <row r="40">
      <c r="A40" s="49" t="inlineStr">
        <is>
          <t>イントロ</t>
        </is>
      </c>
      <c r="B40" s="12" t="inlineStr">
        <is>
          <t>ラジオのチューニングノイズかカセットを入れる音（1 小節）→ パッドとアルペジオでサビのフックを 1 回 → 2 小節の語り。全体で 8 小節以内（約 20 秒）にし、30 秒以内にサビの要素を聞かせる</t>
        </is>
      </c>
      <c r="C40" s="12" t="inlineStr">
        <is>
          <t>吸う息 → ローパスのかかったエレピのコード 4 小節 → 5 小節目でシェイカー、9 小節目でキック。0:20 までに声の切れ端のフックが鳴る。</t>
        </is>
      </c>
      <c r="D40" s="12" t="inlineStr">
        <is>
          <t>シンセの 8 分アルペジオでサビのメロディを 2 小節なぞる → キックとベースが入って 2 小節 → 10 秒前後で歌が始まる</t>
        </is>
      </c>
      <c r="E40" s="12" t="inlineStr">
        <is>
          <t>ベースとドラムだけで 2 小節 → カッティングギターが入って 2 小節 → 4 小節目に男女のスキャット → 10 秒以内に歌</t>
        </is>
      </c>
      <c r="F40" s="12" t="inlineStr">
        <is>
          <t>指弾きのギター 2 小節と 2 人の mm のハミングで始め、0:15〜0:25 にサビのメロディの断片を 2 人のハモりで置く。</t>
        </is>
      </c>
    </row>
    <row r="41">
      <c r="A41" s="49" t="inlineStr">
        <is>
          <t>アウトロ</t>
        </is>
      </c>
      <c r="B41" s="12" t="inlineStr">
        <is>
          <t>サビのフックを低いハミングで 1 回 → パッドとヒスノイズだけが残り、テープの揺れとともに 4 小節でフェード。急に切らない</t>
        </is>
      </c>
      <c r="C41" s="12" t="inlineStr">
        <is>
          <t>キックが抜けたあとも、エレピとシェイカーが 16 小節続く。最後は吐く息で終わる。フェードは 8 秒以内で、終わりのコードは解決しきらず、次の曲へつながる余地を残す。</t>
        </is>
      </c>
      <c r="D41" s="12" t="inlineStr">
        <is>
          <t>最後のサビとポストコーラスのあと、アルペジオとキックだけで 4 小節。最後の小節はギターのハーモニクス 1 音で終える（フェードしない・無音で切らない）</t>
        </is>
      </c>
      <c r="E41" s="12" t="inlineStr">
        <is>
          <t>サビの最終行を男女で 2 回繰り返し、3 人全員で 1 拍のキメで止める。フェードアウトしない。止めたあと開放弦のギターの 1 音だけが短く残る。</t>
        </is>
      </c>
      <c r="F41" s="12" t="inlineStr">
        <is>
          <t>最後のサビのあと、ギターとハーモニウムだけで 4〜8 小節。雨のフィールド録音を薄く重ねてゆっくりフェードする。急に切らない。</t>
        </is>
      </c>
    </row>
    <row r="42">
      <c r="A42" s="49" t="inlineStr">
        <is>
          <t>構成</t>
        </is>
      </c>
      <c r="B42" s="12" t="inlineStr">
        <is>
          <t>Intro（フックの予告＋語り）→ Verse 1 → Pre-Chorus → Chorus → Verse 2 → Chorus → Bridge（語り 4 小節）→ Final Chorus → Outro。3 分〜3 分 20 秒</t>
        </is>
      </c>
      <c r="C42" s="12" t="inlineStr">
        <is>
          <t>イントロ 8 → フック（声の切れ端）16 → 展開 16 → 中庭（キックを遠ざける）8 → フック再現 16 → 展開 2（1 要素追加）16 → アウトロ 16。150〜210 秒。フックは 30 秒以内。</t>
        </is>
      </c>
      <c r="D42" s="12" t="inlineStr">
        <is>
          <t>Intro（4 小節・サビのメロディをシンセでなぞる）→ Verse 1（8 小節）→ Pre-Chorus（2 小節）→ Chorus（サビ頭は 30 秒前後）→ Post-Chorus（ah-ah）→ Verse 2 → Pre-Chorus（4 小節）→ Chorus → Post-Chorus → Bridge（電話越しの声）→ Chorus → Post-Chorus → Outro。全体で 3 分〜3 分 20 秒</t>
        </is>
      </c>
      <c r="E42" s="12" t="inlineStr">
        <is>
          <t>Intro（8〜10 秒）→ Verse 1 → Pre → Chorus（30 秒以内）→ Verse 2 → Pre → Chorus → ユニゾンのリフ 2 小節 → Bridge（一時転調）→ Chorus ×2 → Outro（キメ）。150〜200 秒。</t>
        </is>
      </c>
      <c r="F42" s="12" t="inlineStr">
        <is>
          <t>イントロ（サビの断片を 0:30 以内に）→ A メロ（アイラ）→ サビ → A メロ（ゲシン）→ サビ → ブリッジ（ベースとドラムが抜けて声 2 人とハーモニウム）→ 最後のサビ（2 回し）→ アウトロ。全体 150〜210 秒。無音のブレイクは入れない。</t>
        </is>
      </c>
    </row>
    <row r="43">
      <c r="A43" s="49" t="inlineStr">
        <is>
          <t>楽器のルール</t>
        </is>
      </c>
      <c r="B43" s="12" t="inlineStr">
        <is>
          <t>ドラムは 80 年代風のドラムマシンにゲートリバーブのスネア。低音はシンセベースだけ。ギターは 1 本まで、サックスとギターソロは使わない。毎曲テープヒスを薄く敷く</t>
        </is>
      </c>
      <c r="C43" s="12" t="inlineStr">
        <is>
          <t>同時に鳴る主役は 3 つまで（キック・コード・声の切れ端）。新しい音は 16 小節ごとに 1 つだけ足すか引く。ハイライフ風の 2 音のギターと工房の実音は、各曲に 1 回ずつ。</t>
        </is>
      </c>
      <c r="D43" s="12" t="inlineStr">
        <is>
          <t>8 分のシンセアルペジオを毎曲の背骨にする。ギターはクリーンのみで歪ませない。重いサブベースの長い持続と、ドロップで全部抜く展開は使わない</t>
        </is>
      </c>
      <c r="E43" s="12" t="inlineStr">
        <is>
          <t>ギター・ベース・ドラムの 3 人の音を必ず中心に置き、3 人で演奏できる範囲で作る。鍵盤とシンセは飾りで、音量はギターより下。ホーンは使わず、合いの手はギターとコーラスで。</t>
        </is>
      </c>
      <c r="F43" s="12" t="inlineStr">
        <is>
          <t>楽器は同時に 5 種まで。シンセやエレクトロニックな音は使わず、木と弦と空気の音だけ。ドラムはブラシかマレット。ベースは 1 番サビから入る。</t>
        </is>
      </c>
    </row>
    <row r="44">
      <c r="A44" s="49" t="inlineStr">
        <is>
          <t>リズム</t>
        </is>
      </c>
      <c r="B44" s="12" t="inlineStr">
        <is>
          <t>四つ打ちにしない。キックは 1・3 拍目中心で時々 8 分で食う。スネアは 2・4 拍目で数ミリ秒後ろにもたれる。ハイハットは 8 分で淡く、16 分の細かさはアルペジオに任せ、テンポは一定</t>
        </is>
      </c>
      <c r="C44" s="12" t="inlineStr">
        <is>
          <t>四つ打ち。ハイハットは裏打ちでスウィング 56% 前後。100〜110 BPM の曲はハーフタイム寄りのダウンテンポ、112〜124 BPM は素直なハウス。シェイカーは止めない。</t>
        </is>
      </c>
      <c r="D44" s="12" t="inlineStr">
        <is>
          <t>まっすぐな 8 ビート（キックは 4 分寄り）にハイハット 8 分。サビで 2・4 拍に手拍子を足す。シャッフルしない</t>
        </is>
      </c>
      <c r="E44" s="12" t="inlineStr">
        <is>
          <t>16 ビートの軽いはずみ（スウィング 55％程度）。ベースはシンコペーションで、キックと揃うのはサビだけ。ハイハットは 16 分で刻み、サビで少し開く。ブレイクは 1 拍まで。</t>
        </is>
      </c>
      <c r="F44" s="12" t="inlineStr">
        <is>
          <t>4 分の 4 拍子で、8 分音符が少しだけ跳ねるゆるい揺れ。ワイパーの往復のような一定の推進力。アルバムに 1〜2 曲は 6/8 のワルツ。</t>
        </is>
      </c>
    </row>
    <row r="45">
      <c r="A45" s="49" t="inlineStr">
        <is>
          <t>毎曲必ず</t>
        </is>
      </c>
      <c r="B45" s="12" t="inlineStr">
        <is>
          <t>30 秒以内にサビのフックを鳴らす、歌詞に具体的な時刻を 1 つ、テープヒスを薄く敷く、2 小節の語り、低いハミングのアウトロ</t>
        </is>
      </c>
      <c r="C45" s="12" t="inlineStr">
        <is>
          <t>30 秒以内に声の切れ端のフック、曲の真ん中に『中庭』の 8 小節（無音にはしない）、工房の実音を 1 つ、息の音で始まり息の音で終わる、150〜210 秒</t>
        </is>
      </c>
      <c r="D45" s="12" t="inlineStr">
        <is>
          <t>30 秒以内にサビの要素、8 分のシンセアルペジオ、時刻か道路の番号を歌詞に 1 回、明るく開いた終わり</t>
        </is>
      </c>
      <c r="E45" s="12" t="inlineStr">
        <is>
          <t>サビの要素を 30 秒以内に、男性リードの上にサビで女性の 3 度上のハモり、指弾きベースがはっきり聴こえるミックス、昼の明るい音像（高域を少し開ける）、歌詞に建築か道路の具体語を 1 つ</t>
        </is>
      </c>
      <c r="F45" s="12" t="inlineStr">
        <is>
          <t>サビに 2 人の 3 度ハーモニー、手で触れる素材の言葉（羊毛・塩・木・ロープ・雨）を 1 つ以上、30 秒以内にサビの断片、指弾きのアコースティックギター</t>
        </is>
      </c>
    </row>
    <row r="46">
      <c r="A46" s="49" t="inlineStr">
        <is>
          <t>使わない</t>
        </is>
      </c>
      <c r="B46" s="12" t="inlineStr">
        <is>
          <t>急な無音、EDM のドロップ、シャウト、ギターソロとサックスソロ、明るすぎるメジャー一辺倒、スピードを煽る歌詞</t>
        </is>
      </c>
      <c r="C46" s="12" t="inlineStr">
        <is>
          <t>文章になった歌詞、急な無音、ドロップ前の長い煽り、派手なスーパーソーのリード、ラップ、早回しで甲高くした声</t>
        </is>
      </c>
      <c r="D46" s="12" t="inlineStr">
        <is>
          <t>ラップ、急な無音、歪んだギター、強いピッチ補正の声、悲しい結末、夜の街の情景</t>
        </is>
      </c>
      <c r="E46" s="12" t="inlineStr">
        <is>
          <t>1 拍より長い急な無音、EDM 的なドロップ、ボーカルのピッチ補正の効果、重く歪んだギター、ホーンセクション</t>
        </is>
      </c>
      <c r="F46" s="12" t="inlineStr">
        <is>
          <t>シンセのパッドや電子音のドロップ、急な無音のブレイク、張り上げたロングトーン、音程補正の効果を目立たせた声、スタジアム風の大合唱の掛け声</t>
        </is>
      </c>
    </row>
    <row r="47" ht="20" customHeight="1">
      <c r="A47" s="47" t="inlineStr">
        <is>
          <t>■ 歌詞</t>
        </is>
      </c>
      <c r="B47" s="48" t="n"/>
      <c r="C47" s="48" t="n"/>
      <c r="D47" s="48" t="n"/>
      <c r="E47" s="48" t="n"/>
      <c r="F47" s="48" t="n"/>
    </row>
    <row r="48">
      <c r="A48" s="49" t="inlineStr">
        <is>
          <t>歌詞のテーマ</t>
        </is>
      </c>
      <c r="B48" s="12" t="inlineStr">
        <is>
          <t>過ぎた時間と記憶、夜勤明けの帰り道、時差の向こうにいる人、父のカセットと車、二つの故郷の間で暮らすこと、短い時間を誰かと分け合うこと</t>
        </is>
      </c>
      <c r="C48" s="12" t="inlineStr">
        <is>
          <t>自分を整える夜の時間、余白と中庭、ガーナと英国の 2 つの家、夜行バスと長距離のひとりの時間、手を動かして考えを静めること</t>
        </is>
      </c>
      <c r="D48" s="12" t="inlineStr">
        <is>
          <t>早起きの仕事、2 つの言語と 2 つの朝、時差のある家族、父と娘、東へ走る朝</t>
        </is>
      </c>
      <c r="E48" s="12" t="inlineStr">
        <is>
          <t>移動中の車内の会話と沈黙、設計図と実際の暮らしのずれ、片側だけで持ちこたえること・支え合うこと、家族の移住と親の仕事、サービスエリアでの短い休憩</t>
        </is>
      </c>
      <c r="F48" s="12" t="inlineStr">
        <is>
          <t>遠くの家族と時差、手仕事と繕うこと、雨の日の運転、潮と季節の時間、2 人で暮らす小さな約束、故郷を離れて暮らすこと</t>
        </is>
      </c>
    </row>
    <row r="49">
      <c r="A49" s="49" t="inlineStr">
        <is>
          <t>歌詞の視点</t>
        </is>
      </c>
      <c r="B49" s="12" t="inlineStr">
        <is>
          <t>一人称の I。運転席から、隣の席の人か時差の向こうの人に話しかける。ときどき父や過去の自分に向けて歌う。</t>
        </is>
      </c>
      <c r="C49" s="12" t="inlineStr">
        <is>
          <t>歌詞は無い。曲名と声の切れ端は一人称の独り言だが、I や me はほとんど使わず、名詞と短い動詞で書く。</t>
        </is>
      </c>
      <c r="D49" s="12" t="inlineStr">
        <is>
          <t>私（一人称・現在形）。ときどき家族（父・祖母）や元恋人に語りかける二人称</t>
        </is>
      </c>
      <c r="E49" s="12" t="inlineStr">
        <is>
          <t>基本はリード（キノ）の一人称 I で、サビで we になる。ハモりの女性はときどき you に返事をする 1 行を持つ。</t>
        </is>
      </c>
      <c r="F49" s="12" t="inlineStr">
        <is>
          <t>一人称の I と we。A メロは歌う人自身の目線（アイラ／ゲシン）で、サビで we に合流する。相手に語りかける you が多い。</t>
        </is>
      </c>
    </row>
    <row r="50">
      <c r="A50" s="49" t="inlineStr">
        <is>
          <t>歌詞の言語</t>
        </is>
      </c>
      <c r="B50" s="12" t="inlineStr">
        <is>
          <t>英語</t>
        </is>
      </c>
      <c r="C50" s="12" t="inlineStr">
        <is>
          <t>なし</t>
        </is>
      </c>
      <c r="D50" s="12" t="inlineStr">
        <is>
          <t>英語</t>
        </is>
      </c>
      <c r="E50" s="12" t="inlineStr">
        <is>
          <t>英語</t>
        </is>
      </c>
      <c r="F50" s="12" t="inlineStr">
        <is>
          <t>英語</t>
        </is>
      </c>
    </row>
    <row r="51">
      <c r="A51" s="49" t="inlineStr">
        <is>
          <t>歌詞のトーン</t>
        </is>
      </c>
      <c r="B51" s="12" t="inlineStr">
        <is>
          <t>静かで温かく、少し乾いたユーモア。嘆かずに事実と物を置き、気持ちの名前は言わずに聴き手に任せる。</t>
        </is>
      </c>
      <c r="C51" s="12" t="inlineStr">
        <is>
          <t>淡々として温かい。疲れていても投げやりにならない、夜中の落ち着いた声。</t>
        </is>
      </c>
      <c r="D51" s="12" t="inlineStr">
        <is>
          <t>明るく、乾いたユーモアがある。気持ちを説明せず、時刻・速度・物の名前で語る。さみしさは 1 曲に 1 行だけ</t>
        </is>
      </c>
      <c r="E51" s="12" t="inlineStr">
        <is>
          <t>明るく率直で、少しユーモラス。悲しい出来事も昼の光の中で淡々と言い、説教しない。</t>
        </is>
      </c>
      <c r="F51" s="12" t="inlineStr">
        <is>
          <t>静かで温かい。大げさにせず、物と天気で気持ちを語る。悲しい出来事も、湯気の立つ台所くらいの温度で歌う。</t>
        </is>
      </c>
    </row>
    <row r="52">
      <c r="A52" s="49" t="inlineStr">
        <is>
          <t>避ける話題</t>
        </is>
      </c>
      <c r="B52" s="12" t="inlineStr">
        <is>
          <t>政治、宗教、酒に溺れる話、暴力、スピード違反や危険運転の美化、故郷や移民の苦労を悲劇として誇張すること</t>
        </is>
      </c>
      <c r="C52" s="12" t="inlineStr">
        <is>
          <t>派手な恋愛の駆け引き、お金や成功の誇示、家族を責めること、ガーナを異国趣味として描くこと、パーティーで騒ぐこと</t>
        </is>
      </c>
      <c r="D52" s="12" t="inlineStr">
        <is>
          <t>政治、宗教、国や民族の優劣、夜遊びやお酒、大げさな悲劇</t>
        </is>
      </c>
      <c r="E52" s="12" t="inlineStr">
        <is>
          <t>政治的な主張、酒と飲酒運転、スピードの自慢、成功やお金の誇示、別れた相手への恨み言</t>
        </is>
      </c>
      <c r="F52" s="12" t="inlineStr">
        <is>
          <t>政治のスローガン、酒やパーティーの自慢、お金や成功の自慢、大げさな永遠の愛の誓い</t>
        </is>
      </c>
    </row>
    <row r="53">
      <c r="A53" s="49" t="inlineStr">
        <is>
          <t>歌詞の癖</t>
        </is>
      </c>
      <c r="B53" s="12" t="inlineStr">
        <is>
          <t>毎曲、具体的な時刻（3:12 など）を 1 つと、テープかラジオの言葉（side B・rewind・dead air・on air など）を 1 つ入れる</t>
        </is>
      </c>
      <c r="C53" s="12" t="inlineStr">
        <is>
          <t>曲名は空間や図面の言葉と、時刻や場所の組み合わせ（例：Courtyard, 02:40／Services at Three）。声の切れ端の言葉は曲名から 1〜3 語だけ取る。</t>
        </is>
      </c>
      <c r="D53" s="12" t="inlineStr">
        <is>
          <t>毎曲、時刻（six-oh-eight など）か道路の番号（eighty-four など）を 1 回入れる。日本語は 1 曲に 1 語まで（oyasumi・shitakke など）</t>
        </is>
      </c>
      <c r="E53" s="12" t="inlineStr">
        <is>
          <t>毎曲 1 回だけ、建築か道路の具体的な単語（cantilever・datum・load path・overpass・kerb など）と、サービスエリアで買える物（pie・iced coffee・petrol receipt など）を 1 つずつ入れる。</t>
        </is>
      </c>
      <c r="F53" s="12" t="inlineStr">
        <is>
          <t>各曲に 1 つ具体的な数字を入れる（潮の時刻・編み目の数・道路の番号・マイル数など）。サビの最後の行は具体的な物で終える。</t>
        </is>
      </c>
    </row>
    <row r="54">
      <c r="A54" s="49" t="inlineStr">
        <is>
          <t>歌詞の作り方（核を固定・全部書く・お題だけ・歌なし）</t>
        </is>
      </c>
      <c r="B54" s="12" t="inlineStr">
        <is>
          <t>核を固定</t>
        </is>
      </c>
      <c r="C54" s="12" t="inlineStr">
        <is>
          <t>歌なし</t>
        </is>
      </c>
      <c r="D54" s="12" t="inlineStr">
        <is>
          <t>核を固定</t>
        </is>
      </c>
      <c r="E54" s="12" t="inlineStr">
        <is>
          <t>核を固定</t>
        </is>
      </c>
      <c r="F54" s="12" t="inlineStr">
        <is>
          <t>核を固定</t>
        </is>
      </c>
    </row>
    <row r="55" ht="20" customHeight="1">
      <c r="A55" s="47" t="inlineStr">
        <is>
          <t>■ コラボ</t>
        </is>
      </c>
      <c r="B55" s="48" t="n"/>
      <c r="C55" s="48" t="n"/>
      <c r="D55" s="48" t="n"/>
      <c r="E55" s="48" t="n"/>
      <c r="F55" s="48" t="n"/>
    </row>
    <row r="56">
      <c r="A56" s="49" t="inlineStr">
        <is>
          <t>相性のよい組</t>
        </is>
      </c>
      <c r="B56" s="12" t="inlineStr">
        <is>
          <t>tidewool、hollowplan</t>
        </is>
      </c>
      <c r="C56" s="12" t="inlineStr">
        <is>
          <t>nao_easterly、declan_fay、soft_cantilever、tidewool</t>
        </is>
      </c>
      <c r="D56" s="12" t="inlineStr">
        <is>
          <t>soft_cantilever、hollowplan</t>
        </is>
      </c>
      <c r="E56" s="12" t="inlineStr">
        <is>
          <t>nao_easterly、hollowplan</t>
        </is>
      </c>
      <c r="F56" s="12" t="inlineStr">
        <is>
          <t>declan_fay、hollowplan</t>
        </is>
      </c>
    </row>
    <row r="57">
      <c r="A57" s="49" t="inlineStr">
        <is>
          <t>コラボの形</t>
        </is>
      </c>
      <c r="B57" s="12" t="inlineStr">
        <is>
          <t>TIDEWOOL とは雨の夜の県道の曲で、2 番に語りと低音のハモりで入る（男声の中音より下を受け持つ）。HOLLOWPLAN には語りの切れ端（時刻と場所）を素材として渡し、深夜の長距離のつなぎの曲に散らしてもらう。主役を取らず、相手の曲の『時刻』を担う。</t>
        </is>
      </c>
      <c r="C57" s="12" t="inlineStr">
        <is>
          <t>5 週に 1 回、前の 4 週に出た他の組の曲から 1 曲を選び、声から 1 語と息を 1 つだけ借りて、深夜の長距離向けのハウスに組み直す（表記は『曲名 (HOLLOWPLAN Remix)』）。元の組の場面の音（朝の光・街灯・ハイウェイ・雨）を 1 つ残し、真ん中に『中庭』の 8 小節を置く。</t>
        </is>
      </c>
      <c r="D57" s="12" t="inlineStr">
        <is>
          <t>SOFT CANTILEVER とは、朝から昼へ時間をつなぐ 1 曲で組む（男性の中音のリードに、彼女が 3 度上のハモりと 2 番の A メロを歌う）。HOLLOWPLAN には彼女の「ah-ah」の声の切れ端を素材として渡し、日の出前の区間のつなぎ曲にしてもらう。</t>
        </is>
      </c>
      <c r="E57" s="12" t="inlineStr">
        <is>
          <t>相手の曲に 3 人のバンド演奏で入る（生のベースとドラムを足し、ビアのハモりを重ねる）。VERNALIGHT とは朝の東行きから昼のハイウェイへ続く 2 部作、HOLLOWPLAN にはベースとドラムの素材を渡して長距離区間のつなぎに組み直してもらう。</t>
        </is>
      </c>
      <c r="F57" s="12" t="inlineStr">
        <is>
          <t>DECLAN FAY とは、夜の雨の県道を描く男女の掛け合い（アイラが上・ゲシンが中・低い声の相手がさらに下）。HOLLOWPLAN には、2 人のハミングと雨と木の軋みのフィールド録音を素材として渡し、つなぎの曲に溶かしてもらう。</t>
        </is>
      </c>
    </row>
  </sheetData>
  <conditionalFormatting sqref="B2:Z2">
    <cfRule type="cellIs" priority="1" operator="equal" dxfId="0">
      <formula>"提案"</formula>
    </cfRule>
    <cfRule type="cellIs" priority="2" operator="equal" dxfId="1">
      <formula>"採用"</formula>
    </cfRule>
    <cfRule type="cellIs" priority="3" operator="equal" dxfId="2">
      <formula>"保留"</formula>
    </cfRule>
    <cfRule type="cellIs" priority="4" operator="equal" dxfId="3">
      <formula>"却下"</formula>
    </cfRule>
    <cfRule type="cellIs" priority="5" operator="equal" dxfId="4">
      <formula>"反映済み"</formula>
    </cfRule>
  </conditionalFormatting>
  <dataValidations count="6">
    <dataValidation sqref="B4:Z4" showDropDown="0" showInputMessage="0" showErrorMessage="0" allowBlank="1" errorTitle="選べる値" error="一覧から選んでください（空欄も可）" type="list">
      <formula1>"女性,男性,男女,なし"</formula1>
    </dataValidation>
    <dataValidation sqref="B5:Z5" showDropDown="0" showInputMessage="0" showErrorMessage="0" allowBlank="1" errorTitle="選べる値" error="一覧から選んでください（空欄も可）" type="list">
      <formula1>"高,中,低"</formula1>
    </dataValidation>
    <dataValidation sqref="B50:Z50" showDropDown="0" showInputMessage="0" showErrorMessage="0" allowBlank="1" errorTitle="選べる値" error="一覧から選んでください（空欄も可）" type="list">
      <formula1>"英語,日本語,スペイン語,韓国語,ポルトガル語,なし"</formula1>
    </dataValidation>
    <dataValidation sqref="B54:Z54" showDropDown="0" showInputMessage="0" showErrorMessage="0" allowBlank="1" errorTitle="選べる値" error="一覧から選んでください（空欄も可）" type="list">
      <formula1>"核を固定,全部書く,お題だけ,歌なし"</formula1>
    </dataValidation>
    <dataValidation sqref="B6:Z6" showDropDown="0" showInputMessage="0" showErrorMessage="0" allowBlank="1" errorTitle="選べる値" error="一覧から選んでください（空欄も可）" type="list">
      <formula1>"○"</formula1>
    </dataValidation>
    <dataValidation sqref="B2:Z2" showDropDown="0" showInputMessage="0" showErrorMessage="0" allowBlank="1" errorTitle="選べる値" error="一覧から選んでください（空欄も可）" type="list">
      <formula1>"提案,採用,保留,却下,反映済み"</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7D97AE"/>
    <outlinePr summaryBelow="1" summaryRight="1"/>
    <pageSetUpPr/>
  </sheetPr>
  <dimension ref="A1:F29"/>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46" customWidth="1" min="2" max="2"/>
    <col width="46" customWidth="1" min="3" max="3"/>
    <col width="46" customWidth="1" min="4" max="4"/>
    <col width="46" customWidth="1" min="5" max="5"/>
    <col width="46" customWidth="1" min="6" max="6"/>
  </cols>
  <sheetData>
    <row r="1" ht="28" customHeight="1">
      <c r="A1" s="50" t="inlineStr">
        <is>
          <t>アーティストID</t>
        </is>
      </c>
      <c r="B1" s="41" t="inlineStr">
        <is>
          <t>declan_fay</t>
        </is>
      </c>
      <c r="C1" s="42" t="inlineStr">
        <is>
          <t>hollowplan</t>
        </is>
      </c>
      <c r="D1" s="43" t="inlineStr">
        <is>
          <t>nao_easterly</t>
        </is>
      </c>
      <c r="E1" s="44" t="inlineStr">
        <is>
          <t>soft_cantilever</t>
        </is>
      </c>
      <c r="F1" s="45" t="inlineStr">
        <is>
          <t>tidewool</t>
        </is>
      </c>
    </row>
    <row r="2">
      <c r="A2" s="51" t="inlineStr">
        <is>
          <t>状態</t>
        </is>
      </c>
      <c r="B2" s="13" t="inlineStr">
        <is>
          <t>採用</t>
        </is>
      </c>
      <c r="C2" s="13" t="inlineStr">
        <is>
          <t>採用</t>
        </is>
      </c>
      <c r="D2" s="13" t="inlineStr">
        <is>
          <t>採用</t>
        </is>
      </c>
      <c r="E2" s="13" t="inlineStr">
        <is>
          <t>採用</t>
        </is>
      </c>
      <c r="F2" s="13" t="inlineStr">
        <is>
          <t>採用</t>
        </is>
      </c>
    </row>
    <row r="3" ht="20" customHeight="1">
      <c r="A3" s="52" t="inlineStr">
        <is>
          <t>■ 空間</t>
        </is>
      </c>
      <c r="B3" s="53" t="n"/>
      <c r="C3" s="53" t="n"/>
      <c r="D3" s="53" t="n"/>
      <c r="E3" s="53" t="n"/>
      <c r="F3" s="53" t="n"/>
    </row>
    <row r="4">
      <c r="A4" s="54" t="inlineStr">
        <is>
          <t>空間</t>
        </is>
      </c>
      <c r="B4" s="12" t="inlineStr">
        <is>
          <t>パークデールのヴィクトリア朝の家の 2 階、約 40㎡ の 1 ベッドルーム。南向きの出窓の向こう、建物の隙間にガーディナー高速の街灯の列と、その先の湖の暗さが見える。床は塗装の剥げたパイン材、壁は古い漆喰で、窓際の合板の机にシンセ 1 台と父のラジカセと靴箱が並ぶ。照明は電球色のデスクランプ 1 灯だけで、天井灯は使わない。</t>
        </is>
      </c>
      <c r="C4" s="12" t="inlineStr">
        <is>
          <t>レイトンのヴィクトリア朝テラスハウス最上階の屋根裏（約 28 m²）。天井は片側 1.6 m から反対側 2.6 m へ傾き、北向きの天窓（60×120 cm）が 1 つだけある。部屋の中央 1.8 m 四方には何も置かず、床にマスキングテープで囲いがしてある。机（合板の天板）・エレピ・本棚・寝床はすべて壁際に寄せている。</t>
        </is>
      </c>
      <c r="D4" s="12" t="inlineStr">
        <is>
          <t>ポートランド北東部の 1920 年代のれんが造りアパートの 2 階、1 寝室で約 42㎡。東向きの出窓（幅 2.4m・木枠の上げ下げ窓 3 枚）の下に机と 37 鍵のシンセを置く。床は古いダグラスファーの板張りで、壁は生成りの漆喰。冷蔵庫の横に父をまねたホワイトボード（翌朝の日の出時刻）。もう 1 つの『部屋』は配送バンと自分の古いステーションワゴンの運転席で、フロントガラスが東の窓になる。</t>
        </is>
      </c>
      <c r="E4" s="12" t="inlineStr">
        <is>
          <t>Brunswick East の元板金工場（約 120 ㎡・天井高 5.4 m）。南向きのノコギリ屋根の天窓から、一日じゅう均一な光が入る（南半球なので直射が入らない向き）。床は油染みの残るコンクリート、壁の半分はむき出しの古いレンガ。奥の 3 分の 1 は家具職人と共有の作業場で、手前にドラムセット・ベースアンプ・古い製図台。壁には曲ごとの構成を描いたトレーシングペーパーの断面図がピンで留めてある。</t>
        </is>
      </c>
      <c r="F4" s="12" t="inlineStr">
        <is>
          <t>ペンリン川沿いのボートヤードにある古い網小屋の 2 階（約 6m × 4m・天井高 2.4m・黒ずんだ樫の梁）。北向きの横長の窓が 2 つ川に面し、床は擦り減った松の板。壁は石灰で白く塗られ、片側にロープの束と櫂、反対側に染めた毛糸の束が紐に吊られて乾かされている。中央に古い作業台、隅に小さな薪ストーブ。</t>
        </is>
      </c>
    </row>
    <row r="5">
      <c r="A5" s="54" t="inlineStr">
        <is>
          <t>光</t>
        </is>
      </c>
      <c r="B5" s="12" t="inlineStr">
        <is>
          <t>光源は 1 つだけ。街灯のオレンジか、ダッシュボードや送出卓の小さな表示灯。顔には当てず、背中・肩・手元の輪郭だけを照らす。昼の写真は撮らず、夜の窓には高速の灯りが天井に縞を作る。</t>
        </is>
      </c>
      <c r="C5" s="12" t="inlineStr">
        <is>
          <t>北向きの天窓から落ちる、一方向の均一な白い光。夜は机の作業灯（4000K）1 つと、天窓から入る街灯の琥珀色だけ。</t>
        </is>
      </c>
      <c r="D5" s="12" t="inlineStr">
        <is>
          <t>日の出直後の低い横からの光（太陽の高さ 5 度以下）。窓ガラスかフロントガラス越しの逆光が基本で、人物は輪郭だけを光らせる。夜明け前の青い時間は車内のメーターの小さな灯りだけ。</t>
        </is>
      </c>
      <c r="E5" s="12" t="inlineStr">
        <is>
          <t>昼 11 時〜14 時の高い太陽。オーストラリアの強い日差しで影は短く濃い。屋内は天窓からの拡散光と、外の駐車場の照り返し。</t>
        </is>
      </c>
      <c r="F5" s="12" t="inlineStr">
        <is>
          <t>北窓からの曇天の拡散光が基本。夕方は川面の反射が天井で揺れる。夜は裸電球 1 つとストーブの火だけ。</t>
        </is>
      </c>
    </row>
    <row r="6">
      <c r="A6" s="54" t="inlineStr">
        <is>
          <t>素材</t>
        </is>
      </c>
      <c r="B6" s="12" t="inlineStr">
        <is>
          <t>塗装の剥げたパイン材の床、古い漆喰の壁、カセットの透明なプラスチック、濡れたアスファルト、使い込んだウールとコットンダック、送出卓の黒いアルマイト</t>
        </is>
      </c>
      <c r="C6" s="12" t="inlineStr">
        <is>
          <t>バルサ材、グレーボード（模型用の灰色の厚紙）、合板の天板、緑のカッティングマット、白いアクリル板、ワックスプリントの布（裏地として少しだけ）</t>
        </is>
      </c>
      <c r="D6" s="12" t="inlineStr">
        <is>
          <t>古いダグラスファーの床板、色落ちしたダック地、結露したフロントガラス、梨の木箱、ステンレスの魔法瓶、刺し子の糸</t>
        </is>
      </c>
      <c r="E6" s="12" t="inlineStr">
        <is>
          <t>打ち放しのコンクリート、亜鉛めっきの鋼板、トレーシングペーパー、ユーカリの合板、古いレンガ、白い中古のバンの塗装</t>
        </is>
      </c>
      <c r="F6" s="12" t="inlineStr">
        <is>
          <t>未染色の羊毛、タールを塗ったロープ、樫と楡の木肌、石灰塗りの壁、濡れた花崗岩、油引きの雨合羽の布</t>
        </is>
      </c>
    </row>
    <row r="7">
      <c r="A7" s="54" t="inlineStr">
        <is>
          <t>色</t>
        </is>
      </c>
      <c r="B7" s="12" t="inlineStr">
        <is>
          <t>ナトリウム灯のオレンジ（#E8892B）、夜の紺（#141C2E）、瓶の深い緑（#1F3B2D）、カセットラベルの生成り（#EDE3CF）、アスファルトの灰（#3A3A3C）</t>
        </is>
      </c>
      <c r="C7" s="12" t="inlineStr">
        <is>
          <t>バルサの生成り、グレーボードの灰色、夜の街灯の琥珀色、ケンテ布の深い緑（差し色 1 点）</t>
        </is>
      </c>
      <c r="D7" s="12" t="inlineStr">
        <is>
          <t>夜明け前の群青、除雪車のアンバー、朝日の淡い金、ダック地の茶、霜の白</t>
        </is>
      </c>
      <c r="E7" s="12" t="inlineStr">
        <is>
          <t>ユーカリの葉の灰緑、道路標識の緑、日焼けした白、トレーシングペーパーの半透明、錆びたオレンジ</t>
        </is>
      </c>
      <c r="F7" s="12" t="inlineStr">
        <is>
          <t>生成り、濡れたスレートの青灰、タールの黒、苔の緑、ハリエニシダの黄（差し色に 1 点だけ）</t>
        </is>
      </c>
    </row>
    <row r="8">
      <c r="A8" s="54" t="inlineStr">
        <is>
          <t>カメラ</t>
        </is>
      </c>
      <c r="B8" s="12" t="inlineStr">
        <is>
          <t>35mm フィルム（ISO 800 を 1 段増感）の粒子。50mm の単焦点で人の目の高さ。車内は後部座席から運転席の肩越し。</t>
        </is>
      </c>
      <c r="C8" s="12" t="inlineStr">
        <is>
          <t>真上からの俯瞰（平面図の視点）と、背中側からの肩越しの 2 種類。35 mm 相当・F4 前後で、手元と模型の切り口にピントを合わせる。</t>
        </is>
      </c>
      <c r="D8" s="12" t="inlineStr">
        <is>
          <t>35mm 相当の単焦点。車では後部座席からフロントガラス越しに、部屋では床に近い低い位置から東の窓を見上げる。手持ちでも水平は正確に取る。</t>
        </is>
      </c>
      <c r="E8" s="12" t="inlineStr">
        <is>
          <t>35 mm 相当の単焦点。目線より少し低い位置から、三脚で水平と垂直を厳密に取る（建築写真のように縦の線をまっすぐ）。</t>
        </is>
      </c>
      <c r="F8" s="12" t="inlineStr">
        <is>
          <t>35mm か 50mm の単焦点で、やや浅い被写界深度。フィルムのような粒子。手元と背中に寄り、引きの画では人物を小さく置く。</t>
        </is>
      </c>
    </row>
    <row r="9" ht="20" customHeight="1">
      <c r="A9" s="52" t="inlineStr">
        <is>
          <t>■ ジャケット</t>
        </is>
      </c>
      <c r="B9" s="53" t="n"/>
      <c r="C9" s="53" t="n"/>
      <c r="D9" s="53" t="n"/>
      <c r="E9" s="53" t="n"/>
      <c r="F9" s="53" t="n"/>
    </row>
    <row r="10">
      <c r="A10" s="54" t="inlineStr">
        <is>
          <t>ジャケットの決まり</t>
        </is>
      </c>
      <c r="B10" s="12" t="inlineStr">
        <is>
          <t>毎回、ジャケットの右下に手書きの時刻（例 3:12 AM）と場所を小さく入れる。人物は写っても後ろ姿か手元だけ。文字は時刻と曲名と名前だけで、余白を広く取る。</t>
        </is>
      </c>
      <c r="C10" s="12" t="inlineStr">
        <is>
          <t>毎回、1 枚の平面図か模型を真上から撮り、中央の『中庭』だけは何も置かない。リミックスの回は、その中庭に元の組の色を 1 色だけ光として落とす。</t>
        </is>
      </c>
      <c r="D10" s="12" t="inlineStr">
        <is>
          <t>必ず東を向いた構図（日の出か朝の光源が画面の上 3 分の 1 にある）。人物は小さく、逆光の後ろ姿か手元だけ。文字はロゴと曲名だけで左下に小さく。ジャケットの隅に、その朝の日の出時刻を小さく入れる。</t>
        </is>
      </c>
      <c r="E10" s="12" t="inlineStr">
        <is>
          <t>毎回、構造物か道路の一部（張り出した屋根・高架・サービスエリアのキャノピー）を画面の上半分に大きく置き、3 人は下に小さく。タイトルは左下に小さく。図面の寸法線を 1 本だけ重ねる。</t>
        </is>
      </c>
      <c r="F10" s="12" t="inlineStr">
        <is>
          <t>人の顔は写さず、毎回『2 人の手が触れている素材』を 1 つ中心に置く（ロープの結び目・編みかけの袖・鉋屑など）。文字はロゴ 1 つだけで、余白を大きく取る。</t>
        </is>
      </c>
    </row>
    <row r="11" ht="20" customHeight="1">
      <c r="A11" s="52" t="inlineStr">
        <is>
          <t>■ 顔を見せない</t>
        </is>
      </c>
      <c r="B11" s="53" t="n"/>
      <c r="C11" s="53" t="n"/>
      <c r="D11" s="53" t="n"/>
      <c r="E11" s="53" t="n"/>
      <c r="F11" s="53" t="n"/>
    </row>
    <row r="12">
      <c r="A12" s="54" t="inlineStr">
        <is>
          <t>顔を見せない方法</t>
        </is>
      </c>
      <c r="B12" s="12" t="inlineStr">
        <is>
          <t>逆光（街灯や対向車のヘッドライトを背にした後ろ姿のシルエット）</t>
        </is>
      </c>
      <c r="C12" s="12" t="inlineStr">
        <is>
          <t>後ろ姿。低くまとめたブレイズと、うなじの小さな四角のタトゥーが見える角度から撮る。</t>
        </is>
      </c>
      <c r="D12" s="12" t="inlineStr">
        <is>
          <t>東を向いた逆光の後ろ姿（運転席の後ろから・窓辺で朝日に向かう背中）</t>
        </is>
      </c>
      <c r="E12" s="12" t="inlineStr">
        <is>
          <t>後ろ姿か、顔が判別できない遠景（人物は画面の 10 分の 1 以下）</t>
        </is>
      </c>
      <c r="F12" s="12" t="inlineStr">
        <is>
          <t>後ろ姿と手元だけを写す。2 人並ぶときは窓辺の逆光で輪郭だけにする。</t>
        </is>
      </c>
    </row>
    <row r="13">
      <c r="A13" s="54" t="inlineStr">
        <is>
          <t>副の方法</t>
        </is>
      </c>
      <c r="B13" s="12" t="inlineStr">
        <is>
          <t>運転席の肩越しの手元（ハンドル・カセットを入れる指）、フロントガラスの雨粒と反射で輪郭だけ、送出卓の表示灯に照らされた首から下と手</t>
        </is>
      </c>
      <c r="C13" s="12" t="inlineStr">
        <is>
          <t>模型を切る手元だけ、夜行バスの座席の背と肩（窓に顔が映らない角度）、天窓の下の逆光（顔の輪郭が出ない位置）</t>
        </is>
      </c>
      <c r="D13" s="12" t="inlineStr">
        <is>
          <t>ハンドルを握る手元とダッシュボード、魔法瓶やノートを持つ手元のアップ、ニット帽とフードに隠れた肩越しのカット</t>
        </is>
      </c>
      <c r="E13" s="12" t="inlineStr">
        <is>
          <t>手元のアップ（ギターのネック・ベースを弾く指・スティック）、強い逆光のシルエット、キャノピーや高架の濃い影の中に顔を置く、トレーシングペーパー越しのぼかし</t>
        </is>
      </c>
      <c r="F13" s="12" t="inlineStr">
        <is>
          <t>雨粒のついた車の窓越しにぼかす、ニット帽と雨合羽のフードで頭を隠す、編み物や木材を手前に置いて顔の高さを画面の外に出す</t>
        </is>
      </c>
    </row>
    <row r="14">
      <c r="A14" s="54" t="inlineStr">
        <is>
          <t>絶対にしないこと</t>
        </is>
      </c>
      <c r="B14" s="12" t="inlineStr">
        <is>
          <t>顔のアップ、被り物やマスク、イラスト化・アニメ化、ネオンのピンクと紫のグリッド（ありがちなレトロ表現）、スピードを強調した危険運転の映像、サングラス越しに顔を見せること</t>
        </is>
      </c>
      <c r="C14" s="12" t="inlineStr">
        <is>
          <t>顔のアップ、横顔、被り物やマスク、イラスト化、民族衣装を衣装として着せる演出、クラブのレーザー照明</t>
        </is>
      </c>
      <c r="D14" s="12" t="inlineStr">
        <is>
          <t>顔のアップ、被り物・仮面、イラスト化・アニメ調、夜のネオン街、運転中にスマートフォンを手に持つ姿</t>
        </is>
      </c>
      <c r="E14" s="12" t="inlineStr">
        <is>
          <t>顔のアップ、被り物やマスク、イラスト化やアニメ化、夜の写真、白一色のスタジオ背景</t>
        </is>
      </c>
      <c r="F14" s="12" t="inlineStr">
        <is>
          <t>顔のアップ、被り物やマスク、イラスト化やアニメ化、スタジオの白い背景、晴天の観光地のような青い海</t>
        </is>
      </c>
    </row>
    <row r="15" ht="20" customHeight="1">
      <c r="A15" s="52" t="inlineStr">
        <is>
          <t>■ ロゴ</t>
        </is>
      </c>
      <c r="B15" s="53" t="n"/>
      <c r="C15" s="53" t="n"/>
      <c r="D15" s="53" t="n"/>
      <c r="E15" s="53" t="n"/>
      <c r="F15" s="53" t="n"/>
    </row>
    <row r="16">
      <c r="A16" s="54" t="inlineStr">
        <is>
          <t>ロゴの考え方</t>
        </is>
      </c>
      <c r="B16" s="12" t="inlineStr">
        <is>
          <t>父がカセットのラベルに書いた大文字の手書きを基にした文字。音楽の名前というより、時刻と場所を書き留める『記録のラベル』として扱う。</t>
        </is>
      </c>
      <c r="C16" s="12" t="inlineStr">
        <is>
          <t>平面図の真ん中を正方形にくり抜いた形（中庭＝hollow）。外周の壁の厚みは 1:100 の図面の壁と同じ比率にする。</t>
        </is>
      </c>
      <c r="D16" s="12" t="inlineStr">
        <is>
          <t>地平線と方角だけで名前を表す。文字の下に地平線の 1 本線を引き、右（東）に向かって少しだけ長くする。</t>
        </is>
      </c>
      <c r="E16" s="12" t="inlineStr">
        <is>
          <t>片持ち梁の立面図。一端だけが壁に固定され、反対側が少したわんで宙に浮く線。たわみは 3 人がかけた重さの表現。</t>
        </is>
      </c>
      <c r="F16" s="12" t="inlineStr">
        <is>
          <t>1 本の線が羊毛の糸にもロープにも見える。2 人の素材が結ばれていることを、結び目 1 つで示す。</t>
        </is>
      </c>
    </row>
    <row r="17">
      <c r="A17" s="54" t="inlineStr">
        <is>
          <t>ロゴの形</t>
        </is>
      </c>
      <c r="B17" s="12" t="inlineStr">
        <is>
          <t>街灯の光の半円の下に、小さな妖精の羽の輪郭を置いたマーク。2 枚の羽はカセットの 2 つのリールの形。</t>
        </is>
      </c>
      <c r="C17" s="12" t="inlineStr">
        <is>
          <t>太い線の正方形の枠の中心に、小さな正方形の空白。右下に 1 か所だけ入口の切れ目がある。</t>
        </is>
      </c>
      <c r="D17" s="12" t="inlineStr">
        <is>
          <t>細い水平線 1 本と、その右寄りから半分だけ顔を出す半円（昇る途中の太陽）。単独でアイコンとしても使う。</t>
        </is>
      </c>
      <c r="E17" s="12" t="inlineStr">
        <is>
          <t>左端に短い縦線とハッチング（固定端）、そこから右へ伸びる細い水平線が先端でわずかに下がる。線の下に小さく S と C。</t>
        </is>
      </c>
      <c r="F17" s="12" t="inlineStr">
        <is>
          <t>細い 1 本線で描いた『もやい結び』の輪。輪の下の端がそのまま潮の波線になって消えていく。</t>
        </is>
      </c>
    </row>
    <row r="18">
      <c r="A18" s="54" t="inlineStr">
        <is>
          <t>ロゴの色</t>
        </is>
      </c>
      <c r="B18" s="12" t="inlineStr">
        <is>
          <t>生成り（#EDE3CF）が基本。夜の写真の上ではナトリウムのオレンジ（#E8892B）を 1 色だけ使う。</t>
        </is>
      </c>
      <c r="C18" s="12" t="inlineStr">
        <is>
          <t>グレーボードの灰色か墨色の 1 色で、背景は生成り。リミックスの時だけ、中央の空白に相手の組の色を入れる。</t>
        </is>
      </c>
      <c r="D18" s="12" t="inlineStr">
        <is>
          <t>朝日の淡い金（#E8B04A）。暗い背景では霜の白（#F4F1EA）</t>
        </is>
      </c>
      <c r="E18" s="12" t="inlineStr">
        <is>
          <t>道路標識の深い緑。白地や淡い背景では黒鉛のようなグレー</t>
        </is>
      </c>
      <c r="F18" s="12" t="inlineStr">
        <is>
          <t>生成り（未染色の羊毛の色）の地にタールの黒。差し色が要るときだけハリエニシダの黄。</t>
        </is>
      </c>
    </row>
    <row r="19">
      <c r="A19" s="54" t="inlineStr">
        <is>
          <t>ロゴの書体</t>
        </is>
      </c>
      <c r="B19" s="12" t="inlineStr">
        <is>
          <t>細めのコンデンス・サンセリフの大文字を字間広めに。補助に父の筆跡に似せた手書きの大文字。</t>
        </is>
      </c>
      <c r="C19" s="12" t="inlineStr">
        <is>
          <t>細い線のグロテスク体の大文字。字間を広く取り、建築図面の注記のように小さく置く。</t>
        </is>
      </c>
      <c r="D19" s="12" t="inlineStr">
        <is>
          <t>道路標識に近い字幅の広いサンセリフ。全部大文字で字間を広めに取る</t>
        </is>
      </c>
      <c r="E19" s="12" t="inlineStr">
        <is>
          <t>図面の注記に使うような、角ばった等幅に近いサンセリフ。大文字のみで字間を広く取る</t>
        </is>
      </c>
      <c r="F19" s="12" t="inlineStr">
        <is>
          <t>細めのセリフ体の小文字で tidewool。字間を広く取り、手で刻んだような少しの揺れを残す。</t>
        </is>
      </c>
    </row>
    <row r="20" ht="20" customHeight="1">
      <c r="A20" s="52" t="inlineStr">
        <is>
          <t>■ 写真</t>
        </is>
      </c>
      <c r="B20" s="53" t="n"/>
      <c r="C20" s="53" t="n"/>
      <c r="D20" s="53" t="n"/>
      <c r="E20" s="53" t="n"/>
      <c r="F20" s="53" t="n"/>
    </row>
    <row r="21">
      <c r="A21" s="54" t="inlineStr">
        <is>
          <t>写真の質感</t>
        </is>
      </c>
      <c r="B21" s="12" t="inlineStr">
        <is>
          <t>粒子のあるフィルムの質感。黒を締めすぎず、暗部に青みを残す。街灯のハイライトは少しにじませる。</t>
        </is>
      </c>
      <c r="C21" s="12" t="inlineStr">
        <is>
          <t>フィルムのような細かい粒子と、少し柔らかいハイライト。模型写真のような静けさ。</t>
        </is>
      </c>
      <c r="D21" s="12" t="inlineStr">
        <is>
          <t>フィルムに近い細かい粒子。ハイライトが少し滲む柔らかさで、デジタルのくっきりした質感は避ける</t>
        </is>
      </c>
      <c r="E21" s="12" t="inlineStr">
        <is>
          <t>昼の自然光の、少しだけ色あせたフィルム調。粒子は細かく、ハイライトは飛ばさない。</t>
        </is>
      </c>
      <c r="F21" s="12" t="inlineStr">
        <is>
          <t>曇天のフィルム写真のような柔らかい粒子。湿気を感じる、少し霞んだ質感。</t>
        </is>
      </c>
    </row>
    <row r="22">
      <c r="A22" s="54" t="inlineStr">
        <is>
          <t>構図</t>
        </is>
      </c>
      <c r="B22" s="12" t="inlineStr">
        <is>
          <t>画面の 3 分の 2 を夜の空と道路にし、人物は下の 3 分の 1 に小さく置く。街灯の列で奥行きの線を作る。</t>
        </is>
      </c>
      <c r="C22" s="12" t="inlineStr">
        <is>
          <t>人物を画面の 3 分の 1 の線に寄せ、中央を空ける（中庭の構図）。または真上からの完全な平面図の構図。</t>
        </is>
      </c>
      <c r="D22" s="12" t="inlineStr">
        <is>
          <t>地平線を画面の下 3 分の 1 に置き、空を大きく取る。人物は左寄りに小さく、光は右（東）から</t>
        </is>
      </c>
      <c r="E22" s="12" t="inlineStr">
        <is>
          <t>地平線を画面の下 3 分の 1 に置き、上 3 分の 2 を空と構造物に。3 人は三角形に配置し、1 人だけが少し張り出す位置に立つ。</t>
        </is>
      </c>
      <c r="F22" s="12" t="inlineStr">
        <is>
          <t>三分割の下 1/3 に手元や人物、上 2/3 は空・壁・窓の余白。水平線や窓枠は水平にとる。</t>
        </is>
      </c>
    </row>
    <row r="23">
      <c r="A23" s="54" t="inlineStr">
        <is>
          <t>撮影場所</t>
        </is>
      </c>
      <c r="B23" s="12" t="inlineStr">
        <is>
          <t>トロントのガーディナー高速の高架下・レイクショア大通りの湖側の路肩・局の送出室・夜のガソリンスタンド・帰省時のコークのリー川沿い</t>
        </is>
      </c>
      <c r="C23" s="12" t="inlineStr">
        <is>
          <t>屋根裏の部屋・ハックニー・ウィックの工房・夜行バスの車内・深夜のサービスエリアの駐車場</t>
        </is>
      </c>
      <c r="D23" s="12" t="inlineStr">
        <is>
          <t>コロンビア川峡谷の 84 号線沿いの展望駐車場／ポートランドのアパートの東向きの出窓／フッドリバーの果樹園の農道（冬は霜・春は梨の花）／函館の港の岸壁（夜明け前）</t>
        </is>
      </c>
      <c r="E23" s="12" t="inlineStr">
        <is>
          <t>Hume Freeway 沿いのサービスエリア（給油のキャノピーの下・トラック駐車場の端）、郊外の高架下、Brunswick East の元板金工場、海沿いの道の展望所の駐車場</t>
        </is>
      </c>
      <c r="F23" s="12" t="inlineStr">
        <is>
          <t>網小屋の 2 階・ペンリン川の干潟・リザード半島の雨の県道・ボートヤードの船台・トゥルーロのマーケットの屋台の裏</t>
        </is>
      </c>
    </row>
    <row r="24">
      <c r="A24" s="54" t="inlineStr">
        <is>
          <t>明るさ</t>
        </is>
      </c>
      <c r="B24" s="12" t="inlineStr">
        <is>
          <t>暗め（画面の 7 割が影）。ハイライトは街灯と表示灯だけ。</t>
        </is>
      </c>
      <c r="C24" s="12" t="inlineStr">
        <is>
          <t>やや暗め（ローキー）。ただし黒はつぶさない。</t>
        </is>
      </c>
      <c r="D24" s="12" t="inlineStr">
        <is>
          <t>やや明るめ。空は白く飛ばさず、人物は暗く沈める</t>
        </is>
      </c>
      <c r="E24" s="12" t="inlineStr">
        <is>
          <t>明るめ（露出 +0.3〜+0.7）。昼 11 時〜14 時の撮影</t>
        </is>
      </c>
      <c r="F24" s="12" t="inlineStr">
        <is>
          <t>やや暗め（露出 -0.3〜-0.7）。黒は潰さない。</t>
        </is>
      </c>
    </row>
    <row r="25">
      <c r="A25" s="54" t="inlineStr">
        <is>
          <t>コントラスト</t>
        </is>
      </c>
      <c r="B25" s="12" t="inlineStr">
        <is>
          <t>中くらい。黒をつぶさず、暗部に紺の階調を残す。</t>
        </is>
      </c>
      <c r="C25" s="12" t="inlineStr">
        <is>
          <t>中〜低</t>
        </is>
      </c>
      <c r="D25" s="12" t="inlineStr">
        <is>
          <t>中程度。逆光でも黒をつぶし切らず、車内の物の形が分かる程度に残す</t>
        </is>
      </c>
      <c r="E25" s="12" t="inlineStr">
        <is>
          <t>中くらい。影は濃いが黒をつぶさない</t>
        </is>
      </c>
      <c r="F25" s="12" t="inlineStr">
        <is>
          <t>低め。ハイライトを柔らかく残し、影にも色を残す。</t>
        </is>
      </c>
    </row>
    <row r="26">
      <c r="A26" s="54" t="inlineStr">
        <is>
          <t>色温度</t>
        </is>
      </c>
      <c r="B26" s="12" t="inlineStr">
        <is>
          <t>光源はオレンジ（約 2000〜2700K）、暗部は青（約 7000K）に寄せた 2 色の対比。</t>
        </is>
      </c>
      <c r="C26" s="12" t="inlineStr">
        <is>
          <t>夜の場面は 3200K 前後の琥珀色。工房と天窓の場面は 4500K 前後の中性。</t>
        </is>
      </c>
      <c r="D26" s="12" t="inlineStr">
        <is>
          <t>日の出後は 4000〜5000K の暖かい色。夜明け前のカットだけ 7000K 前後の青</t>
        </is>
      </c>
      <c r="E26" s="12" t="inlineStr">
        <is>
          <t>やや暖かい（5,600〜6,000K）。空の青はわずかに緑寄り</t>
        </is>
      </c>
      <c r="F26" s="12" t="inlineStr">
        <is>
          <t>5,000〜5,600K のやや寒色寄り。室内ではストーブか電球の暖色の点を 1 つだけ置く。</t>
        </is>
      </c>
    </row>
    <row r="27">
      <c r="A27" s="54" t="inlineStr">
        <is>
          <t>背景</t>
        </is>
      </c>
      <c r="B27" s="12" t="inlineStr">
        <is>
          <t>街灯の列・高架の柱・濡れた路面・遠くの信号。人工物だけで、人混みは入れない。</t>
        </is>
      </c>
      <c r="C27" s="12" t="inlineStr">
        <is>
          <t>グレーボード・合板・夜の車窓・霧の湿地。文字や看板は写さない。</t>
        </is>
      </c>
      <c r="D27" s="12" t="inlineStr">
        <is>
          <t>開けた東の空と道路。人工物はガードレール・道路標識・電線・防音壁くらいに抑える</t>
        </is>
      </c>
      <c r="E27" s="12" t="inlineStr">
        <is>
          <t>広い空・白いコンクリート・ユーカリの並木・道路標識の緑</t>
        </is>
      </c>
      <c r="F27" s="12" t="inlineStr">
        <is>
          <t>濡れた石垣・川の干潟・白い石灰の壁・吊られた毛糸の束。看板や車のエンブレムは入れない。</t>
        </is>
      </c>
    </row>
    <row r="28">
      <c r="A28" s="54" t="inlineStr">
        <is>
          <t>立ち位置</t>
        </is>
      </c>
      <c r="B28" s="12" t="inlineStr">
        <is>
          <t>画面の左下か右下、街灯の真下から半歩外れた位置。体は光から少し背を向ける。</t>
        </is>
      </c>
      <c r="C28" s="12" t="inlineStr">
        <is>
          <t>画面の左右どちらかの端に、背を向けて立つか座る。中央は必ず空ける。</t>
        </is>
      </c>
      <c r="D28" s="12" t="inlineStr">
        <is>
          <t>画面の左 3 分の 1 に、カメラへ背を向けて立つか座り、東（右奥）を向く</t>
        </is>
      </c>
      <c r="E28" s="12" t="inlineStr">
        <is>
          <t>3 人は 2〜3 m ずつ離れて立つ。キノはいつも片側に張り出す位置か一番奥、ビアは中央の少し後ろ、タヴは端でバンに寄りかかる。</t>
        </is>
      </c>
      <c r="F28" s="12" t="inlineStr">
        <is>
          <t>2 人はいつも少しずらして立つ（アイラが手前・ゲシンが半歩後ろ）。向かい合わず、同じ方向を見る。</t>
        </is>
      </c>
    </row>
    <row r="29">
      <c r="A29" s="54" t="inlineStr">
        <is>
          <t>しぐさ</t>
        </is>
      </c>
      <c r="B29" s="12" t="inlineStr">
        <is>
          <t>カセットを裏返す・車のキーを指に掛ける・襟を立てて肩をすくめる・ハンドルに片手を置いて信号を待つ。</t>
        </is>
      </c>
      <c r="C29" s="12" t="inlineStr">
        <is>
          <t>カッターの刃を替える・定規を押さえる・首のヘッドホンを掛け直す・バスの窓の外を後ろ姿のまま眺める。</t>
        </is>
      </c>
      <c r="D29" s="12" t="inlineStr">
        <is>
          <t>魔法瓶のふたを開ける／サンバイザーを上げる／ハンドルの上で指でテンポを刻む／ノートに時刻を書く</t>
        </is>
      </c>
      <c r="E29" s="12" t="inlineStr">
        <is>
          <t>バンの開いたスライドドアに腰掛ける。3 人で地図や図面を覗き込む（後ろ姿）。アイスコーヒーを手渡す。ギターケースを肩に掛けてキャノピーの影から出ていく。</t>
        </is>
      </c>
      <c r="F29" s="12" t="inlineStr">
        <is>
          <t>アイラは編み針を持ったまま。ゲシンはロープを手に巻くか、鉛筆を耳に挟む。2 人の手が同じ毛糸かロープを持つ構図を毎回 1 枚入れる。</t>
        </is>
      </c>
    </row>
  </sheetData>
  <conditionalFormatting sqref="B2:Z2">
    <cfRule type="cellIs" priority="1" operator="equal" dxfId="0">
      <formula>"提案"</formula>
    </cfRule>
    <cfRule type="cellIs" priority="2" operator="equal" dxfId="1">
      <formula>"採用"</formula>
    </cfRule>
    <cfRule type="cellIs" priority="3" operator="equal" dxfId="2">
      <formula>"保留"</formula>
    </cfRule>
    <cfRule type="cellIs" priority="4" operator="equal" dxfId="3">
      <formula>"却下"</formula>
    </cfRule>
    <cfRule type="cellIs" priority="5" operator="equal" dxfId="4">
      <formula>"反映済み"</formula>
    </cfRule>
  </conditionalFormatting>
  <dataValidations count="1">
    <dataValidation sqref="B2:Z2" showDropDown="0" showInputMessage="0" showErrorMessage="0" allowBlank="1" errorTitle="選べる値" error="一覧から選んでください（空欄も可）" type="list">
      <formula1>"提案,採用,保留,却下,反映済み"</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9E9E9E"/>
    <outlinePr summaryBelow="1" summaryRight="1"/>
    <pageSetUpPr/>
  </sheetPr>
  <dimension ref="A1:H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9" customWidth="1" min="2" max="2"/>
    <col width="12" customWidth="1" min="3" max="3"/>
    <col width="14" customWidth="1" min="4" max="4"/>
    <col width="20" customWidth="1" min="5" max="5"/>
    <col width="40" customWidth="1" min="6" max="6"/>
    <col width="40" customWidth="1" min="7" max="7"/>
    <col width="40" customWidth="1" min="8" max="8"/>
  </cols>
  <sheetData>
    <row r="1" ht="32" customHeight="1">
      <c r="A1" s="55" t="inlineStr">
        <is>
          <t>アーティストID</t>
        </is>
      </c>
      <c r="B1" s="55" t="inlineStr">
        <is>
          <t>状態</t>
        </is>
      </c>
      <c r="C1" s="55" t="inlineStr">
        <is>
          <t>日付</t>
        </is>
      </c>
      <c r="D1" s="55" t="inlineStr">
        <is>
          <t>タブ</t>
        </is>
      </c>
      <c r="E1" s="55" t="inlineStr">
        <is>
          <t>項目</t>
        </is>
      </c>
      <c r="F1" s="55" t="inlineStr">
        <is>
          <t>今の値</t>
        </is>
      </c>
      <c r="G1" s="55" t="inlineStr">
        <is>
          <t>提案する値</t>
        </is>
      </c>
      <c r="H1" s="55" t="inlineStr">
        <is>
          <t>理由</t>
        </is>
      </c>
    </row>
    <row r="2">
      <c r="A2" s="35" t="inlineStr">
        <is>
          <t>declan_fay</t>
        </is>
      </c>
      <c r="B2" s="13" t="inlineStr">
        <is>
          <t>反映済み</t>
        </is>
      </c>
      <c r="C2" s="12" t="inlineStr">
        <is>
          <t>2026-10-10</t>
        </is>
      </c>
      <c r="D2" s="12" t="inlineStr">
        <is>
          <t>アーティスト</t>
        </is>
      </c>
      <c r="E2" s="12" t="inlineStr">
        <is>
          <t>名前の由来</t>
        </is>
      </c>
      <c r="F2" s="12" t="inlineStr">
        <is>
          <t>本名デクラン・トゥーミー。幼少期の頃、町で小さな発表会があったときに母のピアノに合わせて歌を披露し喝采を浴びた時のホームビデオで撮影していた父が「まるで妖精のようだ」と言っていた場面からFay（妖精の意）を掛け合わせた。。トロントのラジオ局で深夜の小さな番組のパーソナリティーを務めていた際に「夜の癒ややし担当＝Fay」深夜の小さな番組のパーソナリティーを務めていた際にとして、リスナーの間からあだ名でそう呼ばれていた。</t>
        </is>
      </c>
      <c r="G2" s="12" t="inlineStr">
        <is>
          <t>本名デクラン・トゥーミー。幼い頃、町の小さな発表会で母のピアノに合わせて歌い拍手を浴びたとき、ホームビデオを撮っていた父が『まるで妖精のようだ』と言った。その場面から Fay（妖精の意）を名前に掛け合わせた。トロントのラジオ局で深夜の小さな番組のパーソナリティーを務めていた頃、リスナーの間で『夜の癒やし担当＝Fay』というあだ名で呼ばれていたことも重なっている。</t>
        </is>
      </c>
      <c r="H2" s="12" t="inlineStr">
        <is>
          <t>内容は変えず、同じ句（深夜の小さな番組の〜務めていた際に）の重なりと「癒ややし」の誤字だけを直す案。</t>
        </is>
      </c>
    </row>
    <row r="3">
      <c r="A3" s="35" t="inlineStr">
        <is>
          <t>declan_fay</t>
        </is>
      </c>
      <c r="B3" s="13" t="inlineStr">
        <is>
          <t>反映済み</t>
        </is>
      </c>
      <c r="C3" s="12" t="inlineStr">
        <is>
          <t>2026-10-10</t>
        </is>
      </c>
      <c r="D3" s="12" t="inlineStr">
        <is>
          <t>アーティスト</t>
        </is>
      </c>
      <c r="E3" s="12" t="inlineStr">
        <is>
          <t>英語の紹介文</t>
        </is>
      </c>
      <c r="F3" s="12" t="inlineStr">
        <is>
          <t>DECLAN MOTH is Declan Twomey, a Cork-born baritone who has spent ten years working nights in Toronto — first driving a bakery van at 2 a.m., now running the overnight desk at a small community radio station. As a boy who wouldn't sleep, he rode along on his grandfather's late drives around Cork's ring road, a box of cassettes taped off late-night radio at his feet; when his grandfather died, those 43 tapes crossed the Atlantic in a shoebox, and their hiss is still in every mix. His songs are slow, warm synthwave for the stretch between last call and first light: analog pads, a gated snare, a voice that sounds like it's riding in the passenger seat, and always a time on the clock. Put it on when you're driving home and everyone else is asleep.</t>
        </is>
      </c>
      <c r="G3" s="12" t="inlineStr">
        <is>
          <t>DECLAN FAY is Declan Twomey, a Cork-born baritone who has spent ten years working nights in Toronto — first driving a newspaper delivery van at 2 a.m., now running the overnight desk at a small community radio station. His father drove a taxi through Cork's late hours and taped the radio as he went; he died when Declan was nine, and nineteen years later those 43 cassettes crossed the Atlantic in a shoebox. Their hiss is still in every mix. The name came to him twice: once from his father's voice on an old home video, and again from the night-shift listeners who started calling him their Fay. His songs are slow, warm synthwave for the stretch between last call and first light: analog pads, a gated snare, a voice that sounds like it's riding in the passenger seat, and always a time on the clock. Put it on when you're driving home and everyone else is asleep.</t>
        </is>
      </c>
      <c r="H3" s="12" t="inlineStr">
        <is>
          <t>名前が DECLAN FAY になり、テープを残したのが祖父ではなく父になったため。配送の仕事は人生年表（朝刊の配送バン）に合わせた。オーナーが書き換えた『デビューの経緯（まとめ）』（幼い頃に亡くなった父が残したテープ）と『名前の由来』（父のホームビデオ・リスナーのあだ名）に合わせるため。</t>
        </is>
      </c>
    </row>
    <row r="4">
      <c r="A4" s="35" t="inlineStr">
        <is>
          <t>declan_fay</t>
        </is>
      </c>
      <c r="B4" s="13" t="inlineStr">
        <is>
          <t>反映済み</t>
        </is>
      </c>
      <c r="C4" s="12" t="inlineStr">
        <is>
          <t>2026-10-10</t>
        </is>
      </c>
      <c r="D4" s="12" t="inlineStr">
        <is>
          <t>アーティスト</t>
        </is>
      </c>
      <c r="E4" s="12" t="inlineStr">
        <is>
          <t>作曲の担当</t>
        </is>
      </c>
      <c r="F4" s="12" t="inlineStr">
        <is>
          <t>本人。局の古い制作室と自宅の窓際の机で、4 つの和音のパッドを先に決め、ベースとアルペジオを重ねる。メロディは運転中の鼻歌をスマートフォンに録って拾う。祖父のテープのヒスや車内の音を薄く混ぜて仕上げる。</t>
        </is>
      </c>
      <c r="G4" s="12" t="inlineStr">
        <is>
          <t>本人。局の古い制作室と自宅の窓際の机で、4 つの和音のパッドを先に決め、ベースとアルペジオを重ねる。メロディは運転中の鼻歌をスマートフォンに録って拾う。父が残したテープのヒスや車内の音を薄く混ぜて仕上げる。</t>
        </is>
      </c>
      <c r="H4" s="12" t="inlineStr">
        <is>
          <t>オーナーが書き換えた『デビューの経緯（まとめ）』（幼い頃に亡くなった父が残したテープ）と『名前の由来』（父のホームビデオ・リスナーのあだ名）に合わせるため。</t>
        </is>
      </c>
    </row>
    <row r="5">
      <c r="A5" s="35" t="inlineStr">
        <is>
          <t>declan_fay</t>
        </is>
      </c>
      <c r="B5" s="13" t="inlineStr">
        <is>
          <t>反映済み</t>
        </is>
      </c>
      <c r="C5" s="12" t="inlineStr">
        <is>
          <t>2026-10-10</t>
        </is>
      </c>
      <c r="D5" s="12" t="inlineStr">
        <is>
          <t>アーティスト</t>
        </is>
      </c>
      <c r="E5" s="12" t="inlineStr">
        <is>
          <t>今の章（いまの暮らしと気持ち）</t>
        </is>
      </c>
      <c r="F5" s="12" t="inlineStr">
        <is>
          <t>トロントに来て 10 年目の秋。週 4 日、19 時から 3 時まで局の送出卓に座り、帰りにガーディナーを走ってから、金曜と土曜は 4 時過ぎにイネスをパン屋まで送る。昼に眠り午後に起きる暮らしには慣れたが、時差のせいでコークの家族と話せる時間は短く、父が朝 7 時に撮って送ってくる空の写真を深夜 2 時の休憩に見るのが日課になっている。祖父の 43 本のテープはすべてデジタルにし終え、そこから拾った音を曲に混ぜている。最初のシングルを出すと決め、毎晩の休憩に歌詞を 1 行ずつ直している。</t>
        </is>
      </c>
      <c r="G5" s="12" t="inlineStr">
        <is>
          <t>トロントに来て 10 年目の秋。週 4 日、19 時から 3 時まで局の送出卓に座り、帰りにガーディナーを走ってから、金曜と土曜は 4 時過ぎにイネスをパン屋まで送る。昼に眠り午後に起きる暮らしには慣れたが、時差のせいでコークの家族と話せる時間は短く、母が朝 7 時に撮って送ってくる空の写真を深夜 2 時の休憩に見るのが日課になっている。父が残した 43 本のテープはすべてデジタルにし終え、そこから拾った音を曲に混ぜている。最初のシングルを出すと決め、毎晩の休憩に歌詞を 1 行ずつ直している。</t>
        </is>
      </c>
      <c r="H5" s="12" t="inlineStr">
        <is>
          <t>父が幼い頃に亡くなった設定では、毎朝写真を送ってくるのは母になるため。オーナーが書き換えた『デビューの経緯（まとめ）』（幼い頃に亡くなった父が残したテープ）と『名前の由来』（父のホームビデオ・リスナーのあだ名）に合わせるため。</t>
        </is>
      </c>
    </row>
    <row r="6">
      <c r="A6" s="35" t="inlineStr">
        <is>
          <t>declan_fay</t>
        </is>
      </c>
      <c r="B6" s="13" t="inlineStr">
        <is>
          <t>反映済み</t>
        </is>
      </c>
      <c r="C6" s="12" t="inlineStr">
        <is>
          <t>2026-10-10</t>
        </is>
      </c>
      <c r="D6" s="12" t="inlineStr">
        <is>
          <t>アーティスト</t>
        </is>
      </c>
      <c r="E6" s="12" t="inlineStr">
        <is>
          <t>メモ</t>
        </is>
      </c>
      <c r="F6" s="12" t="inlineStr">
        <is>
          <t>テーマの中心は『時間の手触り』（夜勤の時刻・5 時間の時差・カセット）。80 年代の再現ではなく、今の夜を 80 年代の質感で歌う。顔出しなし。本名は設定の中だけで使い、配信名は DECLAN MOTH。</t>
        </is>
      </c>
      <c r="G6" s="12" t="inlineStr">
        <is>
          <t>テーマの中心は『時間の手触り』（夜勤の時刻・5 時間の時差・カセット）。80 年代の再現ではなく、今の夜を 80 年代の質感で歌う。顔出しなし。本名は設定の中だけで使い、配信名は DECLAN FAY。</t>
        </is>
      </c>
      <c r="H6" s="12" t="inlineStr">
        <is>
          <t>名前が DECLAN FAY に変わったため（『軸』の言葉は指示どおり取り除き済み）。</t>
        </is>
      </c>
    </row>
    <row r="7">
      <c r="A7" s="35" t="inlineStr">
        <is>
          <t>declan_fay</t>
        </is>
      </c>
      <c r="B7" s="13" t="inlineStr">
        <is>
          <t>反映済み</t>
        </is>
      </c>
      <c r="C7" s="12" t="inlineStr">
        <is>
          <t>2026-10-10</t>
        </is>
      </c>
      <c r="D7" s="12" t="inlineStr">
        <is>
          <t>アーティスト</t>
        </is>
      </c>
      <c r="E7" s="12" t="inlineStr">
        <is>
          <t>性別</t>
        </is>
      </c>
      <c r="F7" s="12" t="inlineStr"/>
      <c r="G7" s="12" t="inlineStr">
        <is>
          <t>男性</t>
        </is>
      </c>
      <c r="H7" s="12" t="inlineStr">
        <is>
          <t>オーナーが足した列が空欄のため。</t>
        </is>
      </c>
    </row>
    <row r="8">
      <c r="A8" s="35" t="inlineStr">
        <is>
          <t>declan_fay</t>
        </is>
      </c>
      <c r="B8" s="13" t="inlineStr">
        <is>
          <t>反映済み</t>
        </is>
      </c>
      <c r="C8" s="12" t="inlineStr">
        <is>
          <t>2026-10-10</t>
        </is>
      </c>
      <c r="D8" s="12" t="inlineStr">
        <is>
          <t>アーティスト</t>
        </is>
      </c>
      <c r="E8" s="12" t="inlineStr">
        <is>
          <t>生年月日（現在の年齢）</t>
        </is>
      </c>
      <c r="F8" s="12" t="inlineStr"/>
      <c r="G8" s="12" t="inlineStr">
        <is>
          <t>1993-02-04（33 歳）</t>
        </is>
      </c>
      <c r="H8" s="12" t="inlineStr">
        <is>
          <t>メンバーのタブの誕生日から。2026-10-10 時点の年齢。</t>
        </is>
      </c>
    </row>
    <row r="9">
      <c r="A9" s="35" t="inlineStr">
        <is>
          <t>declan_fay</t>
        </is>
      </c>
      <c r="B9" s="13" t="inlineStr">
        <is>
          <t>反映済み</t>
        </is>
      </c>
      <c r="C9" s="12" t="inlineStr">
        <is>
          <t>2026-10-10</t>
        </is>
      </c>
      <c r="D9" s="12" t="inlineStr">
        <is>
          <t>アーティスト</t>
        </is>
      </c>
      <c r="E9" s="12" t="inlineStr">
        <is>
          <t>曲で使用するメインの楽器</t>
        </is>
      </c>
      <c r="F9" s="12" t="inlineStr"/>
      <c r="G9" s="12" t="inlineStr">
        <is>
          <t>アナログ・ポリシンセのパッドとアルペジオ、1980 年代のドラムマシン（ゲートのかかったスネア）、低く温かいバリトンの声</t>
        </is>
      </c>
      <c r="H9" s="12" t="inlineStr">
        <is>
          <t>声と曲づくりの『楽器の色』とメンバーの『使う楽器』から。作曲の指示文に渡る欄なので機種名は入れていない。</t>
        </is>
      </c>
    </row>
  </sheetData>
  <autoFilter ref="A1:H9"/>
  <conditionalFormatting sqref="B2:B508">
    <cfRule type="cellIs" priority="1" operator="equal" dxfId="0">
      <formula>"提案"</formula>
    </cfRule>
    <cfRule type="cellIs" priority="2" operator="equal" dxfId="1">
      <formula>"採用"</formula>
    </cfRule>
    <cfRule type="cellIs" priority="3" operator="equal" dxfId="2">
      <formula>"保留"</formula>
    </cfRule>
    <cfRule type="cellIs" priority="4" operator="equal" dxfId="3">
      <formula>"却下"</formula>
    </cfRule>
    <cfRule type="cellIs" priority="5" operator="equal" dxfId="4">
      <formula>"反映済み"</formula>
    </cfRule>
  </conditionalFormatting>
  <conditionalFormatting sqref="A2:H508">
    <cfRule type="expression" priority="6" dxfId="5">
      <formula>$B2="却下"</formula>
    </cfRule>
  </conditionalFormatting>
  <conditionalFormatting sqref="B2:H508">
    <cfRule type="expression" priority="7" dxfId="6">
      <formula>AND($A2&lt;&gt;"",MOD(ROW(),2)=0)</formula>
    </cfRule>
  </conditionalFormatting>
  <conditionalFormatting sqref="A2:A508">
    <cfRule type="cellIs" priority="8" operator="equal" dxfId="7">
      <formula>"declan_fay"</formula>
    </cfRule>
    <cfRule type="cellIs" priority="9" operator="equal" dxfId="8">
      <formula>"hollowplan"</formula>
    </cfRule>
    <cfRule type="cellIs" priority="10" operator="equal" dxfId="9">
      <formula>"nao_easterly"</formula>
    </cfRule>
    <cfRule type="cellIs" priority="11" operator="equal" dxfId="10">
      <formula>"soft_cantilever"</formula>
    </cfRule>
    <cfRule type="cellIs" priority="12" operator="equal" dxfId="11">
      <formula>"tidewool"</formula>
    </cfRule>
  </conditionalFormatting>
  <dataValidations count="1">
    <dataValidation sqref="B2:B508" showDropDown="0" showInputMessage="0" showErrorMessage="0" allowBlank="1" errorTitle="選べる値" error="一覧から選んでください（空欄も可）" type="list">
      <formula1>"提案,採用,保留,却下,反映済み"</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34" customWidth="1" min="3" max="3"/>
    <col width="12" customWidth="1" min="4" max="4"/>
    <col width="48" customWidth="1" min="5" max="5"/>
    <col width="12" customWidth="1" min="6" max="6"/>
    <col width="52" customWidth="1" min="7" max="7"/>
  </cols>
  <sheetData>
    <row r="1">
      <c r="A1" s="56" t="inlineStr">
        <is>
          <t>順番</t>
        </is>
      </c>
      <c r="B1" s="56" t="inlineStr">
        <is>
          <t>詰まっていること</t>
        </is>
      </c>
      <c r="C1" s="56" t="inlineStr">
        <is>
          <t>なぜ必要か</t>
        </is>
      </c>
      <c r="D1" s="56" t="inlineStr">
        <is>
          <t>担当</t>
        </is>
      </c>
      <c r="E1" s="56" t="inlineStr">
        <is>
          <t>次の一歩</t>
        </is>
      </c>
      <c r="F1" s="56" t="inlineStr">
        <is>
          <t>状態</t>
        </is>
      </c>
      <c r="G1" s="56" t="inlineStr">
        <is>
          <t>メモ</t>
        </is>
      </c>
    </row>
    <row r="2">
      <c r="A2" s="57" t="inlineStr">
        <is>
          <t>1</t>
        </is>
      </c>
      <c r="B2" s="57" t="inlineStr">
        <is>
          <t>Suno のプランの確認</t>
        </is>
      </c>
      <c r="C2" s="57" t="inlineStr">
        <is>
          <t>配信に使えるのは Pro か Premier のプランで作った曲だけ</t>
        </is>
      </c>
      <c r="D2" s="57" t="inlineStr">
        <is>
          <t>あなた</t>
        </is>
      </c>
      <c r="E2" s="57" t="inlineStr">
        <is>
          <t>Suno の設定画面で今のプランを確かめる</t>
        </is>
      </c>
      <c r="F2" s="58" t="inlineStr">
        <is>
          <t>完了</t>
        </is>
      </c>
      <c r="G2" s="57" t="inlineStr">
        <is>
          <t>Pro プラン（2026-10-13 確認）。作った曲は配信に使える</t>
        </is>
      </c>
    </row>
    <row r="3">
      <c r="A3" s="57" t="inlineStr">
        <is>
          <t>2</t>
        </is>
      </c>
      <c r="B3" s="57" t="inlineStr">
        <is>
          <t>DistroKid のプランの確認</t>
        </is>
      </c>
      <c r="C3" s="57" t="inlineStr">
        <is>
          <t>5 組ぶんのアーティスト名を使うため、名前を 5 つ以上持てるプランが要る</t>
        </is>
      </c>
      <c r="D3" s="57" t="inlineStr">
        <is>
          <t>あなた</t>
        </is>
      </c>
      <c r="E3" s="57" t="inlineStr">
        <is>
          <t>DistroKid の Account／Upgrade のページで確かめる</t>
        </is>
      </c>
      <c r="F3" s="58" t="inlineStr">
        <is>
          <t>完了</t>
        </is>
      </c>
      <c r="G3" s="57" t="inlineStr">
        <is>
          <t>Ultimate（アーティスト名 5 つ）に加入中（2026-10-13 確認）。新しい組を足すときは、その前に名前の数が多い段へ上げる</t>
        </is>
      </c>
    </row>
    <row r="4">
      <c r="A4" s="57" t="inlineStr">
        <is>
          <t>3</t>
        </is>
      </c>
      <c r="B4" s="57" t="inlineStr">
        <is>
          <t>名前の重複確認（Postdog Records と 5 組）</t>
        </is>
      </c>
      <c r="C4" s="57" t="inlineStr">
        <is>
          <t>同じ名前がすでにあると、別人のページに曲が混ざる</t>
        </is>
      </c>
      <c r="D4" s="57" t="inlineStr">
        <is>
          <t>あなた → 私</t>
        </is>
      </c>
      <c r="E4" s="57" t="inlineStr">
        <is>
          <t>これから新しく付ける名前は、私が先に Web 検索（Spotify・Bandcamp・SoundCloud を含む）で同じ名前がないか確かめてからお見せする</t>
        </is>
      </c>
      <c r="F4" s="58" t="inlineStr">
        <is>
          <t>完了</t>
        </is>
      </c>
      <c r="G4" s="57" t="inlineStr">
        <is>
          <t>2026-10-13 オーナーが Spotify で確認：6 つとも同じ名前なし。同日 NAO EASTERLY を VERNALIGHT に改名。今の 5 組：DECLAN FAY・HOLLOWPLAN・VERNALIGHT・SOFT CANTILEVER・TIDEWOOL</t>
        </is>
      </c>
    </row>
    <row r="5">
      <c r="A5" s="57" t="inlineStr">
        <is>
          <t>4</t>
        </is>
      </c>
      <c r="B5" s="57" t="inlineStr">
        <is>
          <t>Suno で 5 曲を作る</t>
        </is>
      </c>
      <c r="C5" s="57" t="inlineStr">
        <is>
          <t>配信する音源そのもの</t>
        </is>
      </c>
      <c r="D5" s="57" t="inlineStr">
        <is>
          <t>あなた</t>
        </is>
      </c>
      <c r="E5" s="57" t="inlineStr">
        <is>
          <t>作業書の PDR-001 から順に、1 曲 2〜4 テイク</t>
        </is>
      </c>
      <c r="F5" s="59" t="inlineStr">
        <is>
          <t>未着手</t>
        </is>
      </c>
      <c r="G5" s="57" t="inlineStr">
        <is>
          <t>作業書：SSD の 管理表/作業書_デビュー5曲.pdf（Google ドキュメントからの書き出し）</t>
        </is>
      </c>
    </row>
    <row r="6">
      <c r="A6" s="57" t="inlineStr">
        <is>
          <t>5</t>
        </is>
      </c>
      <c r="B6" s="57" t="inlineStr">
        <is>
          <t>ジャケットとアーティスト写真（自動）</t>
        </is>
      </c>
      <c r="C6" s="57" t="inlineStr">
        <is>
          <t>配信と各サービスのプロフィールに必要</t>
        </is>
      </c>
      <c r="D6" s="57" t="inlineStr">
        <is>
          <t>あなた → 私</t>
        </is>
      </c>
      <c r="E6" s="57" t="inlineStr">
        <is>
          <t>Mac で python3 scripts/kit_images.py。画像は SSD の アーティスト情報/&lt;アーティスト名&gt;/写真・ジャケット に自動で入る</t>
        </is>
      </c>
      <c r="F6" s="60" t="inlineStr">
        <is>
          <t>いま確認中</t>
        </is>
      </c>
      <c r="G6" s="57" t="inlineStr">
        <is>
          <t>2026-10-13 OpenAI の鍵を登録・接続確認済み。写真は人物が主役・目元を隠す（決定 10・11）</t>
        </is>
      </c>
    </row>
    <row r="7">
      <c r="A7" s="57" t="inlineStr">
        <is>
          <t>6</t>
        </is>
      </c>
      <c r="B7" s="57" t="inlineStr">
        <is>
          <t>テイクを選ぶ</t>
        </is>
      </c>
      <c r="C7" s="57" t="inlineStr">
        <is>
          <t>出す 1 本を決める</t>
        </is>
      </c>
      <c r="D7" s="57" t="inlineStr">
        <is>
          <t>あなた</t>
        </is>
      </c>
      <c r="E7" s="57" t="inlineStr">
        <is>
          <t>作業書の「聴いて選ぶ基準」で 1 本ずつ選び、WAV で保存</t>
        </is>
      </c>
      <c r="F7" s="59" t="inlineStr">
        <is>
          <t>未着手</t>
        </is>
      </c>
      <c r="G7" s="57" t="n"/>
    </row>
    <row r="8">
      <c r="A8" s="57" t="inlineStr">
        <is>
          <t>7</t>
        </is>
      </c>
      <c r="B8" s="57" t="inlineStr">
        <is>
          <t>DistroKid に登録</t>
        </is>
      </c>
      <c r="C8" s="57" t="inlineStr">
        <is>
          <t>公開の予約</t>
        </is>
      </c>
      <c r="D8" s="57" t="inlineStr">
        <is>
          <t>あなた</t>
        </is>
      </c>
      <c r="E8" s="57" t="inlineStr">
        <is>
          <t>作業書の表どおりに入力。公開日はいちばん早い日</t>
        </is>
      </c>
      <c r="F8" s="59" t="inlineStr">
        <is>
          <t>未着手</t>
        </is>
      </c>
      <c r="G8" s="57" t="inlineStr">
        <is>
          <t>作詞作曲者の欄は本名</t>
        </is>
      </c>
    </row>
    <row r="9">
      <c r="A9" s="57" t="inlineStr">
        <is>
          <t>8</t>
        </is>
      </c>
      <c r="B9" s="57" t="inlineStr">
        <is>
          <t>配信後の記録</t>
        </is>
      </c>
      <c r="C9" s="57" t="inlineStr">
        <is>
          <t>管理表と配信の予定を合わせる</t>
        </is>
      </c>
      <c r="D9" s="57" t="inlineStr">
        <is>
          <t>あなた → 私</t>
        </is>
      </c>
      <c r="E9" s="57" t="inlineStr">
        <is>
          <t>DistroKid の ISRC と選んだテイクを教える</t>
        </is>
      </c>
      <c r="F9" s="59" t="inlineStr">
        <is>
          <t>未着手</t>
        </is>
      </c>
      <c r="G9" s="57" t="n"/>
    </row>
    <row r="10">
      <c r="A10" s="57" t="inlineStr">
        <is>
          <t>9</t>
        </is>
      </c>
      <c r="B10" s="57" t="inlineStr">
        <is>
          <t>10 月 28 日の自動配信枠の調整</t>
        </is>
      </c>
      <c r="C10" s="57" t="inlineStr">
        <is>
          <t>デビューの 5 曲と重ならないようにする</t>
        </is>
      </c>
      <c r="D10" s="57" t="inlineStr">
        <is>
          <t>私</t>
        </is>
      </c>
      <c r="E10" s="57" t="inlineStr">
        <is>
          <t>デビューの 5 曲が出たら、その枠を 2 曲目として作り直す</t>
        </is>
      </c>
      <c r="F10" s="61" t="inlineStr">
        <is>
          <t>待ち</t>
        </is>
      </c>
      <c r="G10" s="57" t="n"/>
    </row>
    <row r="11">
      <c r="A11" s="57" t="inlineStr">
        <is>
          <t>10</t>
        </is>
      </c>
      <c r="B11" s="57" t="inlineStr">
        <is>
          <t>参考曲の購入と解析（11 曲以上）</t>
        </is>
      </c>
      <c r="C11" s="57" t="inlineStr">
        <is>
          <t>毎週の自動制作が参考曲の特徴を使う</t>
        </is>
      </c>
      <c r="D11" s="57" t="inlineStr">
        <is>
          <t>あなた → 私</t>
        </is>
      </c>
      <c r="E11" s="57" t="inlineStr">
        <is>
          <t>「参考曲の候補」タブの曲から購入し、music-label/out/references/ に置く</t>
        </is>
      </c>
      <c r="F11" s="59" t="inlineStr">
        <is>
          <t>未着手</t>
        </is>
      </c>
      <c r="G11" s="57" t="inlineStr">
        <is>
          <t>デビューには不要</t>
        </is>
      </c>
    </row>
    <row r="12">
      <c r="A12" s="57" t="inlineStr">
        <is>
          <t>11</t>
        </is>
      </c>
      <c r="B12" s="57" t="inlineStr">
        <is>
          <t>自動化の鍵の設定</t>
        </is>
      </c>
      <c r="C12" s="57" t="inlineStr">
        <is>
          <t>毎週の制作と配信を自動で回すため</t>
        </is>
      </c>
      <c r="D12" s="57" t="inlineStr">
        <is>
          <t>あなた</t>
        </is>
      </c>
      <c r="E12" s="57" t="inlineStr">
        <is>
          <t>Mac で python3 scripts/setup_keys.py</t>
        </is>
      </c>
      <c r="F12" s="62" t="inlineStr">
        <is>
          <t>一部完了</t>
        </is>
      </c>
      <c r="G12" s="57" t="inlineStr">
        <is>
          <t>OpenAI の鍵は登録・接続確認済み（2026-10-13）。ほかの鍵はデビューには不要</t>
        </is>
      </c>
    </row>
    <row r="13">
      <c r="A13" s="57" t="inlineStr">
        <is>
          <t>12</t>
        </is>
      </c>
      <c r="B13" s="57" t="inlineStr">
        <is>
          <t>作業を Mac に移す</t>
        </is>
      </c>
      <c r="C13" s="57" t="inlineStr">
        <is>
          <t>画像の生成・毎週の自動実行・音源と画像の受け渡しのため</t>
        </is>
      </c>
      <c r="D13" s="57" t="inlineStr">
        <is>
          <t>あなた</t>
        </is>
      </c>
      <c r="E13" s="57" t="inlineStr">
        <is>
          <t>—</t>
        </is>
      </c>
      <c r="F13" s="58" t="inlineStr">
        <is>
          <t>完了</t>
        </is>
      </c>
      <c r="G13" s="57" t="inlineStr">
        <is>
          <t>2026-10-13 Mac のターミナルで動いている</t>
        </is>
      </c>
    </row>
    <row r="14">
      <c r="A14" s="57" t="inlineStr">
        <is>
          <t>13</t>
        </is>
      </c>
      <c r="B14" s="57" t="inlineStr">
        <is>
          <t>毎週の自動の流れの試験</t>
        </is>
      </c>
      <c r="C14" s="57" t="inlineStr">
        <is>
          <t>ブリーフからジャケット・登録シート・SNS の準備までを毎週自動で回すため</t>
        </is>
      </c>
      <c r="D14" s="57" t="inlineStr">
        <is>
          <t>あなた → 私</t>
        </is>
      </c>
      <c r="E14" s="57" t="inlineStr">
        <is>
          <t>Mac で python3 scripts/trial.py --all --skip-youtube --cleanup-after → ✕ 0 件なら python3 scripts/schedule.py install</t>
        </is>
      </c>
      <c r="F14" s="60" t="inlineStr">
        <is>
          <t>いま確認中</t>
        </is>
      </c>
      <c r="G14" s="57" t="inlineStr">
        <is>
          <t>2026-10-14 クラウド（鍵なし）で 5 組とも ✕ 0 件。Suno と DistroKid は規約で自動操作が禁止なので人の作業のまま</t>
        </is>
      </c>
    </row>
    <row r="15">
      <c r="A15" s="57" t="inlineStr">
        <is>
          <t>14</t>
        </is>
      </c>
      <c r="B15" s="57" t="inlineStr">
        <is>
          <t>管理表と素材を SSD（DS72）に移す</t>
        </is>
      </c>
      <c r="C15" s="57" t="inlineStr">
        <is>
          <t>アーティストの情報・写真・ジャケット・楽曲を物理的に手元で保管するため</t>
        </is>
      </c>
      <c r="D15" s="57" t="inlineStr">
        <is>
          <t>あなた → 私</t>
        </is>
      </c>
      <c r="E15" s="57" t="inlineStr">
        <is>
          <t>SSD をつないで python3 scripts/archive_sync.py --check → python3 scripts/archive_sync.py。Google のシート・ドキュメント・ドライブの画像はオーナーが移す</t>
        </is>
      </c>
      <c r="F15" s="60" t="inlineStr">
        <is>
          <t>いま確認中</t>
        </is>
      </c>
      <c r="G15" s="57" t="inlineStr">
        <is>
          <t>2026-10-14 決定 13・14。管理表の正本は SSD の 管理表/アーティスト情報.xlsx（このファイル）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2026-10-14T10:34:38Z</dcterms:created>
  <dcterms:modified xsi:type="dcterms:W3CDTF">2026-10-14T10:34:39Z</dcterms:modified>
</cp:coreProperties>
</file>